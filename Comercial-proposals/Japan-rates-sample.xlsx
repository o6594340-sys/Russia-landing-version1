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rr\OneDrive\Документы\Projects\Comercial-proposals\"/>
    </mc:Choice>
  </mc:AlternateContent>
  <xr:revisionPtr revIDLastSave="0" documentId="8_{8973FB1C-48B6-4FA8-B501-0FA8D0AF1665}" xr6:coauthVersionLast="47" xr6:coauthVersionMax="47" xr10:uidLastSave="{00000000-0000-0000-0000-000000000000}"/>
  <bookViews>
    <workbookView xWindow="-108" yWindow="-108" windowWidth="23256" windowHeight="12456" xr2:uid="{61FF5825-EC8E-4893-B13D-9B1A3F435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1" l="1"/>
  <c r="G86" i="1"/>
  <c r="G85" i="1"/>
  <c r="G83" i="1"/>
  <c r="G82" i="1"/>
  <c r="G81" i="1"/>
  <c r="G80" i="1"/>
  <c r="D79" i="1"/>
  <c r="D78" i="1"/>
  <c r="G78" i="1" s="1"/>
  <c r="D77" i="1"/>
  <c r="G77" i="1" s="1"/>
  <c r="G76" i="1"/>
  <c r="D76" i="1"/>
  <c r="D75" i="1"/>
  <c r="G74" i="1"/>
  <c r="G73" i="1"/>
  <c r="G69" i="1"/>
  <c r="G68" i="1"/>
  <c r="G67" i="1"/>
  <c r="G66" i="1"/>
  <c r="G65" i="1"/>
  <c r="G64" i="1"/>
  <c r="G63" i="1"/>
  <c r="G62" i="1"/>
  <c r="G61" i="1"/>
  <c r="G60" i="1"/>
  <c r="D59" i="1"/>
  <c r="G59" i="1" s="1"/>
  <c r="D58" i="1"/>
  <c r="D57" i="1"/>
  <c r="G57" i="1" s="1"/>
  <c r="D56" i="1"/>
  <c r="G56" i="1" s="1"/>
  <c r="D55" i="1"/>
  <c r="G55" i="1" s="1"/>
  <c r="G54" i="1"/>
  <c r="G53" i="1"/>
  <c r="D35" i="1"/>
  <c r="D34" i="1"/>
  <c r="G34" i="1" s="1"/>
  <c r="D33" i="1"/>
  <c r="G33" i="1" s="1"/>
  <c r="D32" i="1"/>
  <c r="G32" i="1" s="1"/>
  <c r="D31" i="1"/>
  <c r="G30" i="1"/>
  <c r="G29" i="1"/>
  <c r="G21" i="1"/>
  <c r="G20" i="1"/>
  <c r="G18" i="1"/>
  <c r="D17" i="1"/>
  <c r="G17" i="1" s="1"/>
  <c r="D16" i="1"/>
  <c r="D15" i="1"/>
  <c r="G15" i="1" s="1"/>
  <c r="D14" i="1"/>
  <c r="G14" i="1" s="1"/>
  <c r="D13" i="1"/>
  <c r="G13" i="1" s="1"/>
  <c r="G12" i="1"/>
  <c r="G11" i="1"/>
  <c r="A10" i="1"/>
  <c r="B10" i="1" s="1"/>
  <c r="A28" i="1" l="1"/>
  <c r="A52" i="1" s="1"/>
  <c r="A72" i="1" s="1"/>
  <c r="G79" i="1"/>
  <c r="G75" i="1"/>
  <c r="G16" i="1"/>
  <c r="G31" i="1"/>
  <c r="G87" i="1"/>
  <c r="G35" i="1"/>
  <c r="G58" i="1"/>
  <c r="B28" i="1" l="1"/>
  <c r="B52" i="1"/>
  <c r="B72" i="1"/>
  <c r="A94" i="1"/>
  <c r="B94" i="1" s="1"/>
</calcChain>
</file>

<file path=xl/sharedStrings.xml><?xml version="1.0" encoding="utf-8"?>
<sst xmlns="http://schemas.openxmlformats.org/spreadsheetml/2006/main" count="99" uniqueCount="58">
  <si>
    <t>Service</t>
    <phoneticPr fontId="2"/>
  </si>
  <si>
    <t>Q</t>
    <phoneticPr fontId="2"/>
  </si>
  <si>
    <t>Days</t>
    <phoneticPr fontId="2"/>
  </si>
  <si>
    <t>comments</t>
  </si>
  <si>
    <t>Check-out</t>
    <phoneticPr fontId="2"/>
  </si>
  <si>
    <t xml:space="preserve">per item </t>
    <phoneticPr fontId="2"/>
  </si>
  <si>
    <t>Total</t>
    <phoneticPr fontId="4" type="noConversion"/>
  </si>
  <si>
    <t>USD</t>
    <phoneticPr fontId="4" type="noConversion"/>
  </si>
  <si>
    <t xml:space="preserve">ВАЖНО! Все цены предварительные и подлежат подтверждению при бронировании . Бронирование не сделано. Если курс иены изменяется, то производится перерасчет.  </t>
    <phoneticPr fontId="4" type="noConversion"/>
  </si>
  <si>
    <t>Day 1, Arrival to Haneda  airport  and transfer to the hotel</t>
    <phoneticPr fontId="4" type="noConversion"/>
  </si>
  <si>
    <t>Guide</t>
    <phoneticPr fontId="4" type="noConversion"/>
  </si>
  <si>
    <t>9:00-21:00</t>
    <phoneticPr fontId="2"/>
  </si>
  <si>
    <t>Large-sized bus</t>
  </si>
  <si>
    <t xml:space="preserve">Lunch </t>
    <phoneticPr fontId="4" type="noConversion"/>
  </si>
  <si>
    <t>Drinks</t>
    <phoneticPr fontId="4" type="noConversion"/>
  </si>
  <si>
    <t>glass of  wine</t>
    <phoneticPr fontId="2"/>
  </si>
  <si>
    <t>Entrance tickets</t>
    <phoneticPr fontId="4" type="noConversion"/>
  </si>
  <si>
    <t>Dinner</t>
    <phoneticPr fontId="4" type="noConversion"/>
  </si>
  <si>
    <t>Premium restaurant</t>
    <phoneticPr fontId="2"/>
  </si>
  <si>
    <t>2 glasses of wine</t>
    <phoneticPr fontId="4" type="noConversion"/>
  </si>
  <si>
    <t>Dinner for a guide</t>
    <phoneticPr fontId="4" type="noConversion"/>
  </si>
  <si>
    <t>basic sound eqipment, screen, projector, 3 mikes</t>
    <phoneticPr fontId="2"/>
  </si>
  <si>
    <t>Interpreter</t>
    <phoneticPr fontId="2"/>
  </si>
  <si>
    <t>Consequitive interpretation, 3h</t>
    <phoneticPr fontId="2"/>
  </si>
  <si>
    <t>Day 2, Tokyo</t>
    <phoneticPr fontId="4" type="noConversion"/>
  </si>
  <si>
    <t>9:00-16:00</t>
    <phoneticPr fontId="2"/>
  </si>
  <si>
    <t>Sushi restaurant</t>
    <phoneticPr fontId="2"/>
  </si>
  <si>
    <t>wine glass</t>
    <phoneticPr fontId="2"/>
  </si>
  <si>
    <t>Museum of Digital Arts</t>
    <phoneticPr fontId="2"/>
  </si>
  <si>
    <t>Day 3. Tokyo</t>
    <phoneticPr fontId="4" type="noConversion"/>
  </si>
  <si>
    <t>16:00-21:00</t>
    <phoneticPr fontId="2"/>
  </si>
  <si>
    <t>In the same room as conference</t>
    <phoneticPr fontId="2"/>
  </si>
  <si>
    <t>Free soft drinks, 1.5h</t>
    <phoneticPr fontId="2"/>
  </si>
  <si>
    <t>Grass of wine</t>
    <phoneticPr fontId="2"/>
  </si>
  <si>
    <t>Lunch and dinner for a guide</t>
    <phoneticPr fontId="4" type="noConversion"/>
  </si>
  <si>
    <t>Simultaneous interpretation, 6h</t>
    <phoneticPr fontId="2"/>
  </si>
  <si>
    <t>Lunch for interpreters</t>
    <phoneticPr fontId="2"/>
  </si>
  <si>
    <t>Conference room rental, 09:00-16:00</t>
    <phoneticPr fontId="2"/>
  </si>
  <si>
    <t>222 sq.m, Basic sound equipment, screen 120 inches, projector, 4 mikes</t>
    <phoneticPr fontId="2"/>
  </si>
  <si>
    <t>Coffee break</t>
    <phoneticPr fontId="2"/>
  </si>
  <si>
    <t>coffee/tea, sandwiches</t>
    <phoneticPr fontId="2"/>
  </si>
  <si>
    <t>Operators</t>
    <phoneticPr fontId="2"/>
  </si>
  <si>
    <t>Whispering system</t>
    <phoneticPr fontId="2"/>
  </si>
  <si>
    <t>For 40 pax, preliminary</t>
    <phoneticPr fontId="2"/>
  </si>
  <si>
    <t>LED Screen</t>
    <phoneticPr fontId="2"/>
  </si>
  <si>
    <t>Rental, preliminary</t>
    <phoneticPr fontId="2"/>
  </si>
  <si>
    <t xml:space="preserve">Additional equipment </t>
    <phoneticPr fontId="2"/>
  </si>
  <si>
    <t>Navigation,sound, wi-fi, price is not available</t>
    <phoneticPr fontId="2"/>
  </si>
  <si>
    <t>Day 4.  Tokyo and transfer to Haneda Airport</t>
    <phoneticPr fontId="4" type="noConversion"/>
  </si>
  <si>
    <t>Assistant</t>
    <phoneticPr fontId="4" type="noConversion"/>
  </si>
  <si>
    <t>10:00-20:00</t>
    <phoneticPr fontId="2"/>
  </si>
  <si>
    <t>Lunch and dinner for an assistant</t>
    <phoneticPr fontId="4" type="noConversion"/>
  </si>
  <si>
    <t>Other</t>
    <phoneticPr fontId="4" type="noConversion"/>
  </si>
  <si>
    <t>Roll-ups</t>
    <phoneticPr fontId="2"/>
  </si>
  <si>
    <t>850x2000</t>
    <phoneticPr fontId="2"/>
  </si>
  <si>
    <t>Check-in</t>
    <phoneticPr fontId="2"/>
  </si>
  <si>
    <t xml:space="preserve"> </t>
    <phoneticPr fontId="2"/>
  </si>
  <si>
    <t>Rental of conference room, 14:00-16:00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</si>
</sst>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#,##0.00000000000_ "/>
  </numFmts>
  <fonts count="10">
    <font>
      <sz val="11"/>
      <color theme="1"/>
      <name val="Aptos Narrow"/>
      <family val="2"/>
      <charset val="128"/>
      <scheme val="minor"/>
    </font>
    <font>
      <sz val="11"/>
      <name val="Times New Roman"/>
      <family val="1"/>
    </font>
    <font>
      <sz val="6"/>
      <name val="Aptos Narrow"/>
      <family val="2"/>
      <charset val="128"/>
      <scheme val="minor"/>
    </font>
    <font>
      <b/>
      <sz val="11"/>
      <color indexed="9"/>
      <name val="Times New Roman"/>
      <family val="1"/>
    </font>
    <font>
      <sz val="8"/>
      <name val="Arial"/>
      <family val="2"/>
    </font>
    <font>
      <sz val="11"/>
      <color indexed="9"/>
      <name val="Times New Roman"/>
      <family val="1"/>
    </font>
    <font>
      <b/>
      <sz val="11"/>
      <color rgb="FFFFFFFF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4" fontId="1" fillId="2" borderId="4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wrapText="1"/>
    </xf>
    <xf numFmtId="1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0" fontId="1" fillId="0" borderId="4" xfId="0" applyFont="1" applyBorder="1" applyAlignment="1"/>
    <xf numFmtId="0" fontId="1" fillId="0" borderId="4" xfId="0" applyFont="1" applyBorder="1" applyAlignment="1">
      <alignment wrapText="1"/>
    </xf>
    <xf numFmtId="1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164" fontId="7" fillId="0" borderId="4" xfId="0" applyNumberFormat="1" applyFont="1" applyBorder="1" applyAlignment="1">
      <alignment horizontal="right" vertical="center" wrapText="1"/>
    </xf>
    <xf numFmtId="4" fontId="1" fillId="0" borderId="4" xfId="0" applyNumberFormat="1" applyFont="1" applyBorder="1" applyAlignment="1"/>
    <xf numFmtId="0" fontId="8" fillId="0" borderId="4" xfId="0" applyFont="1" applyBorder="1" applyAlignment="1"/>
    <xf numFmtId="0" fontId="7" fillId="0" borderId="4" xfId="0" applyFont="1" applyBorder="1" applyAlignment="1"/>
    <xf numFmtId="0" fontId="9" fillId="0" borderId="6" xfId="0" applyFont="1" applyBorder="1" applyAlignment="1">
      <alignment wrapText="1"/>
    </xf>
    <xf numFmtId="0" fontId="9" fillId="0" borderId="4" xfId="0" applyFont="1" applyBorder="1" applyAlignment="1">
      <alignment horizontal="center"/>
    </xf>
    <xf numFmtId="4" fontId="9" fillId="0" borderId="4" xfId="0" applyNumberFormat="1" applyFont="1" applyBorder="1" applyAlignment="1"/>
    <xf numFmtId="0" fontId="9" fillId="0" borderId="4" xfId="0" applyFont="1" applyBorder="1" applyAlignment="1"/>
    <xf numFmtId="0" fontId="7" fillId="3" borderId="6" xfId="0" applyFont="1" applyFill="1" applyBorder="1" applyAlignment="1">
      <alignment wrapText="1"/>
    </xf>
    <xf numFmtId="0" fontId="9" fillId="3" borderId="4" xfId="0" applyFont="1" applyFill="1" applyBorder="1" applyAlignment="1">
      <alignment horizontal="center"/>
    </xf>
    <xf numFmtId="4" fontId="9" fillId="3" borderId="4" xfId="0" applyNumberFormat="1" applyFont="1" applyFill="1" applyBorder="1" applyAlignment="1"/>
    <xf numFmtId="4" fontId="7" fillId="3" borderId="4" xfId="0" applyNumberFormat="1" applyFont="1" applyFill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165" fontId="9" fillId="0" borderId="4" xfId="0" applyNumberFormat="1" applyFont="1" applyBorder="1" applyAlignment="1"/>
    <xf numFmtId="0" fontId="9" fillId="3" borderId="4" xfId="0" applyFont="1" applyFill="1" applyBorder="1" applyAlignment="1"/>
    <xf numFmtId="0" fontId="1" fillId="0" borderId="6" xfId="0" applyFont="1" applyBorder="1" applyAlignment="1">
      <alignment wrapText="1"/>
    </xf>
    <xf numFmtId="0" fontId="7" fillId="3" borderId="7" xfId="0" applyFont="1" applyFill="1" applyBorder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/>
    <xf numFmtId="0" fontId="1" fillId="0" borderId="8" xfId="0" applyFont="1" applyBorder="1" applyAlignment="1">
      <alignment horizontal="center"/>
    </xf>
    <xf numFmtId="164" fontId="7" fillId="0" borderId="4" xfId="0" applyNumberFormat="1" applyFont="1" applyBorder="1" applyAlignment="1"/>
    <xf numFmtId="0" fontId="7" fillId="0" borderId="0" xfId="0" applyFont="1" applyAlignment="1"/>
    <xf numFmtId="0" fontId="1" fillId="4" borderId="0" xfId="0" applyFont="1" applyFill="1" applyAlignment="1"/>
    <xf numFmtId="4" fontId="3" fillId="4" borderId="0" xfId="0" applyNumberFormat="1" applyFont="1" applyFill="1" applyAlignment="1">
      <alignment horizontal="center" vertical="justify"/>
    </xf>
    <xf numFmtId="0" fontId="5" fillId="4" borderId="3" xfId="0" applyFont="1" applyFill="1" applyBorder="1" applyAlignment="1">
      <alignment wrapText="1"/>
    </xf>
    <xf numFmtId="4" fontId="6" fillId="4" borderId="0" xfId="0" applyNumberFormat="1" applyFont="1" applyFill="1" applyAlignment="1">
      <alignment horizontal="center" vertical="justify"/>
    </xf>
    <xf numFmtId="164" fontId="7" fillId="3" borderId="4" xfId="0" applyNumberFormat="1" applyFont="1" applyFill="1" applyBorder="1" applyAlignment="1"/>
    <xf numFmtId="0" fontId="7" fillId="3" borderId="4" xfId="0" applyFont="1" applyFill="1" applyBorder="1" applyAlignment="1"/>
    <xf numFmtId="2" fontId="3" fillId="4" borderId="0" xfId="0" applyNumberFormat="1" applyFont="1" applyFill="1" applyAlignment="1">
      <alignment horizontal="center" vertical="justify"/>
    </xf>
    <xf numFmtId="0" fontId="3" fillId="4" borderId="1" xfId="0" applyFont="1" applyFill="1" applyBorder="1" applyAlignment="1">
      <alignment horizontal="left" vertical="justify" wrapText="1"/>
    </xf>
    <xf numFmtId="0" fontId="3" fillId="4" borderId="2" xfId="0" applyFont="1" applyFill="1" applyBorder="1" applyAlignment="1">
      <alignment horizontal="left" vertical="justify" wrapText="1"/>
    </xf>
    <xf numFmtId="0" fontId="3" fillId="4" borderId="1" xfId="0" applyFont="1" applyFill="1" applyBorder="1" applyAlignment="1">
      <alignment horizontal="center" vertical="justify"/>
    </xf>
    <xf numFmtId="0" fontId="3" fillId="4" borderId="2" xfId="0" applyFont="1" applyFill="1" applyBorder="1" applyAlignment="1">
      <alignment horizontal="center" vertical="justify"/>
    </xf>
    <xf numFmtId="0" fontId="3" fillId="4" borderId="3" xfId="0" applyFont="1" applyFill="1" applyBorder="1" applyAlignment="1">
      <alignment horizontal="center" vertical="justify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A3E7-29E9-4713-ACB7-B8C007F4FECB}">
  <dimension ref="A1:H316"/>
  <sheetViews>
    <sheetView tabSelected="1" workbookViewId="0">
      <selection sqref="A1:A3"/>
    </sheetView>
  </sheetViews>
  <sheetFormatPr defaultRowHeight="13.8"/>
  <cols>
    <col min="1" max="2" width="8.77734375" style="29"/>
    <col min="3" max="3" width="49.33203125" style="30" customWidth="1"/>
    <col min="4" max="4" width="8.77734375" style="33"/>
    <col min="5" max="5" width="4.6640625" style="33" customWidth="1"/>
    <col min="6" max="6" width="13.33203125" style="32" customWidth="1"/>
    <col min="7" max="7" width="19.77734375" style="32" customWidth="1"/>
    <col min="8" max="8" width="43.44140625" style="29" customWidth="1"/>
  </cols>
  <sheetData>
    <row r="1" spans="1:8">
      <c r="A1" s="43" t="s">
        <v>55</v>
      </c>
      <c r="B1" s="36"/>
      <c r="C1" s="43" t="s">
        <v>0</v>
      </c>
      <c r="D1" s="45" t="s">
        <v>1</v>
      </c>
      <c r="E1" s="45" t="s">
        <v>2</v>
      </c>
      <c r="F1" s="37"/>
      <c r="G1" s="37"/>
      <c r="H1" s="42" t="s">
        <v>3</v>
      </c>
    </row>
    <row r="2" spans="1:8">
      <c r="A2" s="44"/>
      <c r="B2" s="43" t="s">
        <v>4</v>
      </c>
      <c r="C2" s="44"/>
      <c r="D2" s="46"/>
      <c r="E2" s="46"/>
      <c r="F2" s="37" t="s">
        <v>5</v>
      </c>
      <c r="G2" s="37" t="s">
        <v>6</v>
      </c>
      <c r="H2" s="42"/>
    </row>
    <row r="3" spans="1:8">
      <c r="A3" s="44"/>
      <c r="B3" s="44"/>
      <c r="C3" s="44"/>
      <c r="D3" s="46"/>
      <c r="E3" s="46"/>
      <c r="F3" s="37" t="s">
        <v>7</v>
      </c>
      <c r="G3" s="37" t="s">
        <v>7</v>
      </c>
      <c r="H3" s="42"/>
    </row>
    <row r="4" spans="1:8">
      <c r="A4" s="36"/>
      <c r="B4" s="44"/>
      <c r="C4" s="38"/>
      <c r="D4" s="47"/>
      <c r="E4" s="47"/>
      <c r="F4" s="37"/>
      <c r="G4" s="39"/>
      <c r="H4" s="42"/>
    </row>
    <row r="5" spans="1:8" ht="55.2">
      <c r="A5" s="1"/>
      <c r="B5" s="1"/>
      <c r="C5" s="2" t="s">
        <v>8</v>
      </c>
      <c r="D5" s="3">
        <v>30</v>
      </c>
      <c r="E5" s="4"/>
      <c r="F5" s="1"/>
      <c r="G5" s="1"/>
      <c r="H5" s="5"/>
    </row>
    <row r="6" spans="1:8">
      <c r="A6" s="6"/>
      <c r="B6" s="6"/>
      <c r="C6" s="7"/>
      <c r="D6" s="8"/>
      <c r="E6" s="9"/>
      <c r="F6" s="10"/>
      <c r="G6" s="10"/>
      <c r="H6" s="6"/>
    </row>
    <row r="7" spans="1:8">
      <c r="A7" s="11"/>
      <c r="B7" s="11"/>
      <c r="C7" s="7"/>
      <c r="D7" s="8"/>
      <c r="E7" s="9"/>
      <c r="F7" s="10"/>
      <c r="G7" s="10" t="s">
        <v>56</v>
      </c>
      <c r="H7" s="6"/>
    </row>
    <row r="8" spans="1:8">
      <c r="A8" s="12">
        <v>46118</v>
      </c>
      <c r="B8" s="12"/>
      <c r="C8" s="7"/>
      <c r="D8" s="8"/>
      <c r="E8" s="9"/>
      <c r="F8" s="10"/>
      <c r="G8" s="10"/>
      <c r="H8" s="6"/>
    </row>
    <row r="9" spans="1:8">
      <c r="A9" s="11"/>
      <c r="B9" s="11"/>
      <c r="C9" s="7"/>
      <c r="D9" s="8"/>
      <c r="E9" s="9"/>
      <c r="F9" s="13"/>
      <c r="G9" s="13"/>
      <c r="H9" s="14"/>
    </row>
    <row r="10" spans="1:8" ht="27.6">
      <c r="A10" s="40">
        <f>$A$8</f>
        <v>46118</v>
      </c>
      <c r="B10" s="41" t="str">
        <f>TEXT(A10,"ddd")</f>
        <v>Mon</v>
      </c>
      <c r="C10" s="20" t="s">
        <v>9</v>
      </c>
      <c r="D10" s="21"/>
      <c r="E10" s="21"/>
      <c r="F10" s="22"/>
      <c r="G10" s="22"/>
      <c r="H10" s="23"/>
    </row>
    <row r="11" spans="1:8">
      <c r="A11" s="15"/>
      <c r="B11" s="19"/>
      <c r="C11" s="16" t="s">
        <v>10</v>
      </c>
      <c r="D11" s="17">
        <v>1</v>
      </c>
      <c r="E11" s="17">
        <v>1</v>
      </c>
      <c r="F11" s="18">
        <v>1013.3912414042707</v>
      </c>
      <c r="G11" s="18">
        <f t="shared" ref="G11:G18" si="0">D11*E11*F11</f>
        <v>1013.3912414042707</v>
      </c>
      <c r="H11" s="19" t="s">
        <v>11</v>
      </c>
    </row>
    <row r="12" spans="1:8">
      <c r="A12" s="15"/>
      <c r="B12" s="19"/>
      <c r="C12" s="16" t="s">
        <v>12</v>
      </c>
      <c r="D12" s="17">
        <v>1</v>
      </c>
      <c r="E12" s="17">
        <v>1</v>
      </c>
      <c r="F12" s="18">
        <v>2026.7824828085413</v>
      </c>
      <c r="G12" s="18">
        <f t="shared" si="0"/>
        <v>2026.7824828085413</v>
      </c>
      <c r="H12" s="19" t="s">
        <v>11</v>
      </c>
    </row>
    <row r="13" spans="1:8">
      <c r="A13" s="15"/>
      <c r="B13" s="19"/>
      <c r="C13" s="16" t="s">
        <v>13</v>
      </c>
      <c r="D13" s="24">
        <f>$D$5+1</f>
        <v>31</v>
      </c>
      <c r="E13" s="17">
        <v>1</v>
      </c>
      <c r="F13" s="18">
        <v>57.908070937386896</v>
      </c>
      <c r="G13" s="18">
        <f t="shared" si="0"/>
        <v>1795.1501990589938</v>
      </c>
      <c r="H13" s="19"/>
    </row>
    <row r="14" spans="1:8">
      <c r="A14" s="15"/>
      <c r="B14" s="19"/>
      <c r="C14" s="16" t="s">
        <v>14</v>
      </c>
      <c r="D14" s="24">
        <f>$D$5</f>
        <v>30</v>
      </c>
      <c r="E14" s="17">
        <v>1</v>
      </c>
      <c r="F14" s="18">
        <v>31.849439015562794</v>
      </c>
      <c r="G14" s="18">
        <f t="shared" si="0"/>
        <v>955.48317046688385</v>
      </c>
      <c r="H14" s="19" t="s">
        <v>15</v>
      </c>
    </row>
    <row r="15" spans="1:8">
      <c r="A15" s="15"/>
      <c r="B15" s="19"/>
      <c r="C15" s="16" t="s">
        <v>16</v>
      </c>
      <c r="D15" s="24">
        <f>$D$5+1</f>
        <v>31</v>
      </c>
      <c r="E15" s="17">
        <v>1</v>
      </c>
      <c r="F15" s="18">
        <v>0</v>
      </c>
      <c r="G15" s="18">
        <f t="shared" si="0"/>
        <v>0</v>
      </c>
      <c r="H15" s="19"/>
    </row>
    <row r="16" spans="1:8">
      <c r="A16" s="15"/>
      <c r="B16" s="19"/>
      <c r="C16" s="16" t="s">
        <v>17</v>
      </c>
      <c r="D16" s="24">
        <f t="shared" ref="D16:D17" si="1">$D$5</f>
        <v>30</v>
      </c>
      <c r="E16" s="17">
        <v>1</v>
      </c>
      <c r="F16" s="18">
        <v>253.34781035106766</v>
      </c>
      <c r="G16" s="18">
        <f t="shared" si="0"/>
        <v>7600.4343105320295</v>
      </c>
      <c r="H16" s="19" t="s">
        <v>18</v>
      </c>
    </row>
    <row r="17" spans="1:8">
      <c r="A17" s="15"/>
      <c r="B17" s="19"/>
      <c r="C17" s="16" t="s">
        <v>14</v>
      </c>
      <c r="D17" s="24">
        <f t="shared" si="1"/>
        <v>30</v>
      </c>
      <c r="E17" s="17">
        <v>1</v>
      </c>
      <c r="F17" s="18">
        <v>57.908070937386896</v>
      </c>
      <c r="G17" s="18">
        <f t="shared" si="0"/>
        <v>1737.2421281216068</v>
      </c>
      <c r="H17" s="19" t="s">
        <v>19</v>
      </c>
    </row>
    <row r="18" spans="1:8">
      <c r="A18" s="15"/>
      <c r="B18" s="19"/>
      <c r="C18" s="16" t="s">
        <v>20</v>
      </c>
      <c r="D18" s="17">
        <v>1</v>
      </c>
      <c r="E18" s="17">
        <v>1</v>
      </c>
      <c r="F18" s="18">
        <v>36.192544335866813</v>
      </c>
      <c r="G18" s="18">
        <f t="shared" si="0"/>
        <v>36.192544335866813</v>
      </c>
      <c r="H18" s="19"/>
    </row>
    <row r="19" spans="1:8">
      <c r="A19" s="15"/>
      <c r="B19" s="19"/>
      <c r="C19" s="16"/>
      <c r="D19" s="17"/>
      <c r="E19" s="17"/>
      <c r="F19" s="18"/>
      <c r="G19" s="18"/>
      <c r="H19" s="19"/>
    </row>
    <row r="20" spans="1:8">
      <c r="A20" s="15"/>
      <c r="B20" s="19"/>
      <c r="C20" s="16" t="s">
        <v>57</v>
      </c>
      <c r="D20" s="17">
        <v>1</v>
      </c>
      <c r="E20" s="17">
        <v>1</v>
      </c>
      <c r="F20" s="18">
        <v>6224.9728555917482</v>
      </c>
      <c r="G20" s="18">
        <f>D20*E20*F20</f>
        <v>6224.9728555917482</v>
      </c>
      <c r="H20" s="19" t="s">
        <v>21</v>
      </c>
    </row>
    <row r="21" spans="1:8">
      <c r="A21" s="15"/>
      <c r="B21" s="19"/>
      <c r="C21" s="16" t="s">
        <v>22</v>
      </c>
      <c r="D21" s="17">
        <v>5</v>
      </c>
      <c r="E21" s="17">
        <v>1</v>
      </c>
      <c r="F21" s="18">
        <v>921.24502352515401</v>
      </c>
      <c r="G21" s="18">
        <f>D21*E21*F21</f>
        <v>4606.2251176257705</v>
      </c>
      <c r="H21" s="19" t="s">
        <v>23</v>
      </c>
    </row>
    <row r="22" spans="1:8">
      <c r="A22" s="34"/>
      <c r="B22" s="19"/>
      <c r="C22" s="16"/>
      <c r="D22" s="17"/>
      <c r="E22" s="17"/>
      <c r="F22" s="18"/>
      <c r="G22" s="18"/>
      <c r="H22" s="19"/>
    </row>
    <row r="23" spans="1:8">
      <c r="A23" s="15"/>
      <c r="B23" s="19"/>
      <c r="C23" s="16"/>
      <c r="D23" s="17"/>
      <c r="E23" s="17"/>
      <c r="F23" s="18"/>
      <c r="G23" s="18"/>
      <c r="H23" s="19"/>
    </row>
    <row r="24" spans="1:8">
      <c r="A24" s="15"/>
      <c r="B24" s="19"/>
      <c r="C24" s="16"/>
      <c r="D24" s="17"/>
      <c r="E24" s="17"/>
      <c r="F24" s="18"/>
      <c r="G24" s="18"/>
      <c r="H24" s="19"/>
    </row>
    <row r="25" spans="1:8">
      <c r="A25" s="15"/>
      <c r="B25" s="19"/>
      <c r="C25" s="16"/>
      <c r="D25" s="17"/>
      <c r="E25" s="17"/>
      <c r="F25" s="18"/>
      <c r="G25" s="18"/>
      <c r="H25" s="19"/>
    </row>
    <row r="26" spans="1:8">
      <c r="A26" s="15"/>
      <c r="B26" s="19"/>
      <c r="C26" s="16"/>
      <c r="D26" s="17"/>
      <c r="E26" s="17"/>
      <c r="F26" s="18"/>
      <c r="G26" s="18"/>
      <c r="H26" s="19"/>
    </row>
    <row r="27" spans="1:8">
      <c r="A27" s="15"/>
      <c r="B27" s="19"/>
      <c r="C27" s="16"/>
      <c r="D27" s="17"/>
      <c r="E27" s="17"/>
      <c r="F27" s="18"/>
      <c r="G27" s="18"/>
      <c r="H27" s="19"/>
    </row>
    <row r="28" spans="1:8">
      <c r="A28" s="40">
        <f>A10+1</f>
        <v>46119</v>
      </c>
      <c r="B28" s="41" t="str">
        <f>TEXT(A28,"ddd")</f>
        <v>Tue</v>
      </c>
      <c r="C28" s="20" t="s">
        <v>24</v>
      </c>
      <c r="D28" s="21"/>
      <c r="E28" s="21"/>
      <c r="F28" s="22"/>
      <c r="G28" s="22"/>
      <c r="H28" s="23"/>
    </row>
    <row r="29" spans="1:8">
      <c r="A29" s="15"/>
      <c r="B29" s="19"/>
      <c r="C29" s="16" t="s">
        <v>10</v>
      </c>
      <c r="D29" s="17">
        <v>1</v>
      </c>
      <c r="E29" s="17">
        <v>1</v>
      </c>
      <c r="F29" s="18">
        <v>941.00615273253709</v>
      </c>
      <c r="G29" s="18">
        <f t="shared" ref="G29:G35" si="2">D29*E29*F29</f>
        <v>941.00615273253709</v>
      </c>
      <c r="H29" s="19" t="s">
        <v>25</v>
      </c>
    </row>
    <row r="30" spans="1:8">
      <c r="A30" s="15"/>
      <c r="B30" s="19"/>
      <c r="C30" s="16" t="s">
        <v>12</v>
      </c>
      <c r="D30" s="17">
        <v>1</v>
      </c>
      <c r="E30" s="17">
        <v>1</v>
      </c>
      <c r="F30" s="18">
        <v>1353.6011581614187</v>
      </c>
      <c r="G30" s="18">
        <f t="shared" si="2"/>
        <v>1353.6011581614187</v>
      </c>
      <c r="H30" s="19" t="s">
        <v>25</v>
      </c>
    </row>
    <row r="31" spans="1:8">
      <c r="A31" s="15"/>
      <c r="B31" s="19"/>
      <c r="C31" s="16" t="s">
        <v>13</v>
      </c>
      <c r="D31" s="24">
        <f>$D$5+1</f>
        <v>31</v>
      </c>
      <c r="E31" s="17">
        <v>1</v>
      </c>
      <c r="F31" s="18">
        <v>50.669562070213537</v>
      </c>
      <c r="G31" s="18">
        <f t="shared" si="2"/>
        <v>1570.7564241766197</v>
      </c>
      <c r="H31" s="19" t="s">
        <v>26</v>
      </c>
    </row>
    <row r="32" spans="1:8">
      <c r="A32" s="15"/>
      <c r="B32" s="19"/>
      <c r="C32" s="16" t="s">
        <v>14</v>
      </c>
      <c r="D32" s="24">
        <f>$D$5</f>
        <v>30</v>
      </c>
      <c r="E32" s="17">
        <v>1</v>
      </c>
      <c r="F32" s="18">
        <v>28.954035468693448</v>
      </c>
      <c r="G32" s="18">
        <f t="shared" si="2"/>
        <v>868.62106406080341</v>
      </c>
      <c r="H32" s="19" t="s">
        <v>27</v>
      </c>
    </row>
    <row r="33" spans="1:8">
      <c r="A33" s="15"/>
      <c r="B33" s="19"/>
      <c r="C33" s="16" t="s">
        <v>16</v>
      </c>
      <c r="D33" s="24">
        <f>$D$5+1</f>
        <v>31</v>
      </c>
      <c r="E33" s="17">
        <v>1</v>
      </c>
      <c r="F33" s="18">
        <v>43.431053203040172</v>
      </c>
      <c r="G33" s="18">
        <f t="shared" si="2"/>
        <v>1346.3626492942453</v>
      </c>
      <c r="H33" s="19" t="s">
        <v>28</v>
      </c>
    </row>
    <row r="34" spans="1:8">
      <c r="A34" s="15"/>
      <c r="B34" s="19"/>
      <c r="C34" s="16" t="s">
        <v>17</v>
      </c>
      <c r="D34" s="24">
        <f t="shared" ref="D34:D35" si="3">$D$5</f>
        <v>30</v>
      </c>
      <c r="E34" s="17">
        <v>1</v>
      </c>
      <c r="F34" s="18">
        <v>0</v>
      </c>
      <c r="G34" s="18">
        <f t="shared" si="2"/>
        <v>0</v>
      </c>
      <c r="H34" s="19"/>
    </row>
    <row r="35" spans="1:8">
      <c r="A35" s="15"/>
      <c r="B35" s="19"/>
      <c r="C35" s="16" t="s">
        <v>14</v>
      </c>
      <c r="D35" s="24">
        <f t="shared" si="3"/>
        <v>30</v>
      </c>
      <c r="E35" s="17">
        <v>1</v>
      </c>
      <c r="F35" s="18">
        <v>0</v>
      </c>
      <c r="G35" s="18">
        <f t="shared" si="2"/>
        <v>0</v>
      </c>
      <c r="H35" s="19"/>
    </row>
    <row r="36" spans="1:8">
      <c r="A36" s="35"/>
      <c r="B36" s="19"/>
      <c r="C36" s="16"/>
      <c r="D36" s="17"/>
      <c r="E36" s="17"/>
      <c r="F36" s="18"/>
      <c r="G36" s="18"/>
      <c r="H36" s="19"/>
    </row>
    <row r="37" spans="1:8">
      <c r="A37" s="34"/>
      <c r="B37" s="19"/>
      <c r="C37" s="16"/>
      <c r="D37" s="17"/>
      <c r="E37" s="17"/>
      <c r="F37" s="18"/>
      <c r="G37" s="18"/>
      <c r="H37" s="19"/>
    </row>
    <row r="38" spans="1:8">
      <c r="A38" s="15"/>
      <c r="B38" s="19"/>
      <c r="C38" s="16"/>
      <c r="D38" s="17"/>
      <c r="E38" s="17"/>
      <c r="F38" s="18"/>
      <c r="G38" s="18"/>
      <c r="H38" s="19"/>
    </row>
    <row r="39" spans="1:8">
      <c r="A39" s="15"/>
      <c r="B39" s="19"/>
      <c r="C39" s="16"/>
      <c r="D39" s="17"/>
      <c r="E39" s="17"/>
      <c r="F39" s="18"/>
      <c r="G39" s="18"/>
      <c r="H39" s="19"/>
    </row>
    <row r="40" spans="1:8">
      <c r="A40" s="15"/>
      <c r="B40" s="19"/>
      <c r="C40" s="16"/>
      <c r="D40" s="17"/>
      <c r="E40" s="17"/>
      <c r="F40" s="18"/>
      <c r="G40" s="18"/>
      <c r="H40" s="19"/>
    </row>
    <row r="41" spans="1:8">
      <c r="A41" s="15"/>
      <c r="B41" s="19"/>
      <c r="C41" s="16"/>
      <c r="D41" s="17"/>
      <c r="E41" s="17"/>
      <c r="F41" s="18"/>
      <c r="G41" s="18"/>
      <c r="H41" s="19"/>
    </row>
    <row r="42" spans="1:8">
      <c r="A42" s="15"/>
      <c r="B42" s="19"/>
      <c r="C42" s="16"/>
      <c r="D42" s="17"/>
      <c r="E42" s="17"/>
      <c r="F42" s="18"/>
      <c r="G42" s="18"/>
      <c r="H42" s="19"/>
    </row>
    <row r="43" spans="1:8">
      <c r="A43" s="15"/>
      <c r="B43" s="19"/>
      <c r="C43" s="16"/>
      <c r="D43" s="17"/>
      <c r="E43" s="17"/>
      <c r="F43" s="18"/>
      <c r="G43" s="18"/>
      <c r="H43" s="19"/>
    </row>
    <row r="44" spans="1:8">
      <c r="A44" s="15"/>
      <c r="B44" s="19"/>
      <c r="C44" s="16"/>
      <c r="D44" s="17"/>
      <c r="E44" s="17"/>
      <c r="F44" s="18"/>
      <c r="G44" s="18"/>
      <c r="H44" s="19"/>
    </row>
    <row r="45" spans="1:8">
      <c r="A45" s="15"/>
      <c r="B45" s="19"/>
      <c r="C45" s="16"/>
      <c r="D45" s="17"/>
      <c r="E45" s="17"/>
      <c r="F45" s="18"/>
      <c r="G45" s="18"/>
      <c r="H45" s="19"/>
    </row>
    <row r="46" spans="1:8">
      <c r="A46" s="15"/>
      <c r="B46" s="19"/>
      <c r="C46" s="16"/>
      <c r="D46" s="17"/>
      <c r="E46" s="17"/>
      <c r="F46" s="18"/>
      <c r="G46" s="18"/>
      <c r="H46" s="19"/>
    </row>
    <row r="47" spans="1:8">
      <c r="A47" s="15"/>
      <c r="B47" s="19"/>
      <c r="C47" s="16"/>
      <c r="D47" s="17"/>
      <c r="E47" s="17"/>
      <c r="F47" s="18"/>
      <c r="G47" s="18"/>
      <c r="H47" s="19"/>
    </row>
    <row r="48" spans="1:8">
      <c r="A48" s="15"/>
      <c r="B48" s="19"/>
      <c r="C48" s="16"/>
      <c r="D48" s="17"/>
      <c r="E48" s="17"/>
      <c r="F48" s="18"/>
      <c r="G48" s="18"/>
      <c r="H48" s="25"/>
    </row>
    <row r="49" spans="1:8">
      <c r="A49" s="15"/>
      <c r="B49" s="19"/>
      <c r="C49" s="16"/>
      <c r="D49" s="17"/>
      <c r="E49" s="17"/>
      <c r="F49" s="18"/>
      <c r="G49" s="18"/>
      <c r="H49" s="19"/>
    </row>
    <row r="50" spans="1:8">
      <c r="A50" s="15"/>
      <c r="B50" s="19"/>
      <c r="C50" s="16"/>
      <c r="D50" s="17"/>
      <c r="E50" s="17"/>
      <c r="F50" s="18"/>
      <c r="G50" s="18"/>
      <c r="H50" s="19"/>
    </row>
    <row r="51" spans="1:8">
      <c r="A51" s="15"/>
      <c r="B51" s="19"/>
      <c r="C51" s="16"/>
      <c r="D51" s="17"/>
      <c r="E51" s="17"/>
      <c r="F51" s="18"/>
      <c r="G51" s="18"/>
      <c r="H51" s="19"/>
    </row>
    <row r="52" spans="1:8">
      <c r="A52" s="40">
        <f>A28+1</f>
        <v>46120</v>
      </c>
      <c r="B52" s="41" t="str">
        <f>TEXT(A52,"ddd")</f>
        <v>Wed</v>
      </c>
      <c r="C52" s="20" t="s">
        <v>29</v>
      </c>
      <c r="D52" s="21"/>
      <c r="E52" s="21"/>
      <c r="F52" s="22"/>
      <c r="G52" s="22"/>
      <c r="H52" s="26"/>
    </row>
    <row r="53" spans="1:8">
      <c r="A53" s="15"/>
      <c r="B53" s="19"/>
      <c r="C53" s="16" t="s">
        <v>10</v>
      </c>
      <c r="D53" s="17">
        <v>1</v>
      </c>
      <c r="E53" s="17">
        <v>1</v>
      </c>
      <c r="F53" s="18">
        <v>1013.3912414042707</v>
      </c>
      <c r="G53" s="18">
        <f t="shared" ref="G53:G69" si="4">D53*E53*F53</f>
        <v>1013.3912414042707</v>
      </c>
      <c r="H53" s="19"/>
    </row>
    <row r="54" spans="1:8">
      <c r="A54" s="15"/>
      <c r="B54" s="19"/>
      <c r="C54" s="16" t="s">
        <v>12</v>
      </c>
      <c r="D54" s="17">
        <v>1</v>
      </c>
      <c r="E54" s="17">
        <v>1</v>
      </c>
      <c r="F54" s="18">
        <v>1302.9315960912052</v>
      </c>
      <c r="G54" s="18">
        <f t="shared" si="4"/>
        <v>1302.9315960912052</v>
      </c>
      <c r="H54" s="19" t="s">
        <v>30</v>
      </c>
    </row>
    <row r="55" spans="1:8">
      <c r="A55" s="15"/>
      <c r="B55" s="19"/>
      <c r="C55" s="16" t="s">
        <v>13</v>
      </c>
      <c r="D55" s="24">
        <f>$D$5</f>
        <v>30</v>
      </c>
      <c r="E55" s="17">
        <v>1</v>
      </c>
      <c r="F55" s="18">
        <v>108.86934491494753</v>
      </c>
      <c r="G55" s="18">
        <f t="shared" si="4"/>
        <v>3266.080347448426</v>
      </c>
      <c r="H55" s="19" t="s">
        <v>31</v>
      </c>
    </row>
    <row r="56" spans="1:8">
      <c r="A56" s="15"/>
      <c r="B56" s="19"/>
      <c r="C56" s="16" t="s">
        <v>14</v>
      </c>
      <c r="D56" s="24">
        <f>$D$5</f>
        <v>30</v>
      </c>
      <c r="E56" s="17">
        <v>1</v>
      </c>
      <c r="F56" s="18">
        <v>29.691639522258416</v>
      </c>
      <c r="G56" s="18">
        <f t="shared" si="4"/>
        <v>890.7491856677525</v>
      </c>
      <c r="H56" s="19" t="s">
        <v>32</v>
      </c>
    </row>
    <row r="57" spans="1:8">
      <c r="A57" s="15"/>
      <c r="B57" s="19"/>
      <c r="C57" s="16" t="s">
        <v>16</v>
      </c>
      <c r="D57" s="24">
        <f>$D$5+1</f>
        <v>31</v>
      </c>
      <c r="E57" s="17">
        <v>1</v>
      </c>
      <c r="F57" s="18">
        <v>0</v>
      </c>
      <c r="G57" s="18">
        <f t="shared" si="4"/>
        <v>0</v>
      </c>
      <c r="H57" s="19"/>
    </row>
    <row r="58" spans="1:8">
      <c r="A58" s="15"/>
      <c r="B58" s="19"/>
      <c r="C58" s="16" t="s">
        <v>17</v>
      </c>
      <c r="D58" s="24">
        <f t="shared" ref="D58:D59" si="5">$D$5</f>
        <v>30</v>
      </c>
      <c r="E58" s="17">
        <v>1</v>
      </c>
      <c r="F58" s="18">
        <v>217.15526601520085</v>
      </c>
      <c r="G58" s="18">
        <f t="shared" si="4"/>
        <v>6514.6579804560251</v>
      </c>
      <c r="H58" s="19"/>
    </row>
    <row r="59" spans="1:8">
      <c r="A59" s="15"/>
      <c r="B59" s="19"/>
      <c r="C59" s="16" t="s">
        <v>14</v>
      </c>
      <c r="D59" s="24">
        <f t="shared" si="5"/>
        <v>30</v>
      </c>
      <c r="E59" s="17">
        <v>1</v>
      </c>
      <c r="F59" s="18">
        <v>28.954035468693448</v>
      </c>
      <c r="G59" s="18">
        <f t="shared" si="4"/>
        <v>868.62106406080341</v>
      </c>
      <c r="H59" s="19" t="s">
        <v>33</v>
      </c>
    </row>
    <row r="60" spans="1:8">
      <c r="A60" s="15"/>
      <c r="B60" s="19"/>
      <c r="C60" s="16" t="s">
        <v>34</v>
      </c>
      <c r="D60" s="17">
        <v>1</v>
      </c>
      <c r="E60" s="17">
        <v>1</v>
      </c>
      <c r="F60" s="18">
        <v>57.908070937386896</v>
      </c>
      <c r="G60" s="18">
        <f t="shared" si="4"/>
        <v>57.908070937386896</v>
      </c>
      <c r="H60" s="19"/>
    </row>
    <row r="61" spans="1:8">
      <c r="A61" s="15"/>
      <c r="B61" s="19"/>
      <c r="C61" s="16" t="s">
        <v>22</v>
      </c>
      <c r="D61" s="17">
        <v>4</v>
      </c>
      <c r="E61" s="17">
        <v>1</v>
      </c>
      <c r="F61" s="18">
        <v>1502.71444082519</v>
      </c>
      <c r="G61" s="18">
        <f t="shared" si="4"/>
        <v>6010.8577633007599</v>
      </c>
      <c r="H61" s="19" t="s">
        <v>35</v>
      </c>
    </row>
    <row r="62" spans="1:8">
      <c r="A62" s="34"/>
      <c r="B62" s="19"/>
      <c r="C62" s="16" t="s">
        <v>22</v>
      </c>
      <c r="D62" s="17">
        <v>5</v>
      </c>
      <c r="E62" s="17">
        <v>1</v>
      </c>
      <c r="F62" s="18">
        <v>921.24502352515401</v>
      </c>
      <c r="G62" s="18">
        <f t="shared" si="4"/>
        <v>4606.2251176257705</v>
      </c>
      <c r="H62" s="19" t="s">
        <v>23</v>
      </c>
    </row>
    <row r="63" spans="1:8">
      <c r="A63" s="15"/>
      <c r="B63" s="19"/>
      <c r="C63" s="16" t="s">
        <v>36</v>
      </c>
      <c r="D63" s="17">
        <v>4</v>
      </c>
      <c r="E63" s="17">
        <v>1</v>
      </c>
      <c r="F63" s="18">
        <v>36.192544335866813</v>
      </c>
      <c r="G63" s="18">
        <f t="shared" si="4"/>
        <v>144.77017734346725</v>
      </c>
      <c r="H63" s="19"/>
    </row>
    <row r="64" spans="1:8">
      <c r="A64" s="15"/>
      <c r="B64" s="19"/>
      <c r="C64" s="16" t="s">
        <v>37</v>
      </c>
      <c r="D64" s="17">
        <v>1</v>
      </c>
      <c r="E64" s="17">
        <v>1</v>
      </c>
      <c r="F64" s="18">
        <v>17752.654361201592</v>
      </c>
      <c r="G64" s="18">
        <f t="shared" si="4"/>
        <v>17752.654361201592</v>
      </c>
      <c r="H64" s="19" t="s">
        <v>38</v>
      </c>
    </row>
    <row r="65" spans="1:8">
      <c r="A65" s="15"/>
      <c r="B65" s="19"/>
      <c r="C65" s="16" t="s">
        <v>39</v>
      </c>
      <c r="D65" s="17">
        <v>30</v>
      </c>
      <c r="E65" s="17">
        <v>2</v>
      </c>
      <c r="F65" s="18">
        <v>52.455229822656534</v>
      </c>
      <c r="G65" s="18">
        <f t="shared" si="4"/>
        <v>3147.3137893593921</v>
      </c>
      <c r="H65" s="19" t="s">
        <v>40</v>
      </c>
    </row>
    <row r="66" spans="1:8">
      <c r="A66" s="15"/>
      <c r="B66" s="19"/>
      <c r="C66" s="16" t="s">
        <v>41</v>
      </c>
      <c r="D66" s="17">
        <v>3</v>
      </c>
      <c r="E66" s="17">
        <v>1</v>
      </c>
      <c r="F66" s="18">
        <v>651.46579804560258</v>
      </c>
      <c r="G66" s="18">
        <f t="shared" si="4"/>
        <v>1954.3973941368076</v>
      </c>
      <c r="H66" s="19"/>
    </row>
    <row r="67" spans="1:8">
      <c r="A67" s="15"/>
      <c r="B67" s="19"/>
      <c r="C67" s="16" t="s">
        <v>42</v>
      </c>
      <c r="D67" s="17">
        <v>1</v>
      </c>
      <c r="E67" s="17">
        <v>1</v>
      </c>
      <c r="F67" s="18">
        <v>6700.9771986970682</v>
      </c>
      <c r="G67" s="18">
        <f t="shared" si="4"/>
        <v>6700.9771986970682</v>
      </c>
      <c r="H67" s="19" t="s">
        <v>43</v>
      </c>
    </row>
    <row r="68" spans="1:8">
      <c r="A68" s="15"/>
      <c r="B68" s="19"/>
      <c r="C68" s="16" t="s">
        <v>44</v>
      </c>
      <c r="D68" s="17">
        <v>1</v>
      </c>
      <c r="E68" s="17">
        <v>1</v>
      </c>
      <c r="F68" s="18">
        <v>4705.0307636626849</v>
      </c>
      <c r="G68" s="18">
        <f t="shared" si="4"/>
        <v>4705.0307636626849</v>
      </c>
      <c r="H68" s="19" t="s">
        <v>45</v>
      </c>
    </row>
    <row r="69" spans="1:8">
      <c r="A69" s="15"/>
      <c r="B69" s="19"/>
      <c r="C69" s="16" t="s">
        <v>46</v>
      </c>
      <c r="D69" s="17">
        <v>1</v>
      </c>
      <c r="E69" s="17">
        <v>1</v>
      </c>
      <c r="F69" s="18">
        <v>0</v>
      </c>
      <c r="G69" s="18">
        <f t="shared" si="4"/>
        <v>0</v>
      </c>
      <c r="H69" s="19" t="s">
        <v>47</v>
      </c>
    </row>
    <row r="70" spans="1:8">
      <c r="A70" s="15"/>
      <c r="B70" s="19"/>
      <c r="C70" s="16"/>
      <c r="D70" s="17"/>
      <c r="E70" s="17"/>
      <c r="F70" s="18"/>
      <c r="G70" s="18"/>
      <c r="H70" s="19"/>
    </row>
    <row r="71" spans="1:8">
      <c r="A71" s="15"/>
      <c r="B71" s="19"/>
      <c r="C71" s="16"/>
      <c r="D71" s="17"/>
      <c r="E71" s="17"/>
      <c r="F71" s="18"/>
      <c r="G71" s="18"/>
      <c r="H71" s="19"/>
    </row>
    <row r="72" spans="1:8">
      <c r="A72" s="40">
        <f>A52+1</f>
        <v>46121</v>
      </c>
      <c r="B72" s="41" t="str">
        <f>TEXT(A72,"ddd")</f>
        <v>Thu</v>
      </c>
      <c r="C72" s="20" t="s">
        <v>48</v>
      </c>
      <c r="D72" s="21"/>
      <c r="E72" s="21"/>
      <c r="F72" s="22"/>
      <c r="G72" s="22"/>
      <c r="H72" s="26"/>
    </row>
    <row r="73" spans="1:8">
      <c r="A73" s="15"/>
      <c r="B73" s="19"/>
      <c r="C73" s="16" t="s">
        <v>49</v>
      </c>
      <c r="D73" s="17">
        <v>1</v>
      </c>
      <c r="E73" s="17">
        <v>1</v>
      </c>
      <c r="F73" s="18">
        <v>1013.3912414042707</v>
      </c>
      <c r="G73" s="18">
        <f t="shared" ref="G73:G83" si="6">D73*E73*F73</f>
        <v>1013.3912414042707</v>
      </c>
      <c r="H73" s="19" t="s">
        <v>50</v>
      </c>
    </row>
    <row r="74" spans="1:8">
      <c r="A74" s="15"/>
      <c r="B74" s="19"/>
      <c r="C74" s="16" t="s">
        <v>12</v>
      </c>
      <c r="D74" s="17">
        <v>1</v>
      </c>
      <c r="E74" s="17">
        <v>1</v>
      </c>
      <c r="F74" s="18">
        <v>1737.2421281216068</v>
      </c>
      <c r="G74" s="18">
        <f t="shared" si="6"/>
        <v>1737.2421281216068</v>
      </c>
      <c r="H74" s="19" t="s">
        <v>50</v>
      </c>
    </row>
    <row r="75" spans="1:8">
      <c r="A75" s="15"/>
      <c r="B75" s="19"/>
      <c r="C75" s="16" t="s">
        <v>13</v>
      </c>
      <c r="D75" s="24">
        <f>$D$5+1</f>
        <v>31</v>
      </c>
      <c r="E75" s="17">
        <v>1</v>
      </c>
      <c r="F75" s="18">
        <v>108.86934491494753</v>
      </c>
      <c r="G75" s="18">
        <f t="shared" si="6"/>
        <v>3374.9496923633733</v>
      </c>
      <c r="H75" s="19" t="s">
        <v>31</v>
      </c>
    </row>
    <row r="76" spans="1:8">
      <c r="A76" s="15"/>
      <c r="B76" s="19"/>
      <c r="C76" s="16" t="s">
        <v>14</v>
      </c>
      <c r="D76" s="24">
        <f>$D$5</f>
        <v>30</v>
      </c>
      <c r="E76" s="17">
        <v>1</v>
      </c>
      <c r="F76" s="18">
        <v>29.691639522258416</v>
      </c>
      <c r="G76" s="18">
        <f t="shared" si="6"/>
        <v>890.7491856677525</v>
      </c>
      <c r="H76" s="19" t="s">
        <v>32</v>
      </c>
    </row>
    <row r="77" spans="1:8">
      <c r="A77" s="15"/>
      <c r="B77" s="19"/>
      <c r="C77" s="16" t="s">
        <v>16</v>
      </c>
      <c r="D77" s="24">
        <f>$D$5+1</f>
        <v>31</v>
      </c>
      <c r="E77" s="17">
        <v>1</v>
      </c>
      <c r="F77" s="18">
        <v>0</v>
      </c>
      <c r="G77" s="18">
        <f t="shared" si="6"/>
        <v>0</v>
      </c>
      <c r="H77" s="19"/>
    </row>
    <row r="78" spans="1:8">
      <c r="A78" s="15"/>
      <c r="B78" s="19"/>
      <c r="C78" s="16" t="s">
        <v>17</v>
      </c>
      <c r="D78" s="24">
        <f t="shared" ref="D78:D79" si="7">$D$5</f>
        <v>30</v>
      </c>
      <c r="E78" s="17">
        <v>1</v>
      </c>
      <c r="F78" s="18">
        <v>130.29315960912052</v>
      </c>
      <c r="G78" s="18">
        <f t="shared" si="6"/>
        <v>3908.7947882736157</v>
      </c>
      <c r="H78" s="19"/>
    </row>
    <row r="79" spans="1:8">
      <c r="A79" s="15"/>
      <c r="B79" s="19"/>
      <c r="C79" s="16" t="s">
        <v>14</v>
      </c>
      <c r="D79" s="24">
        <f t="shared" si="7"/>
        <v>30</v>
      </c>
      <c r="E79" s="17">
        <v>1</v>
      </c>
      <c r="F79" s="18">
        <v>36.192544335866813</v>
      </c>
      <c r="G79" s="18">
        <f t="shared" si="6"/>
        <v>1085.7763300760043</v>
      </c>
      <c r="H79" s="19" t="s">
        <v>27</v>
      </c>
    </row>
    <row r="80" spans="1:8">
      <c r="A80" s="15"/>
      <c r="B80" s="19"/>
      <c r="C80" s="16" t="s">
        <v>51</v>
      </c>
      <c r="D80" s="17">
        <v>1</v>
      </c>
      <c r="E80" s="17">
        <v>1</v>
      </c>
      <c r="F80" s="18">
        <v>36.192544335866813</v>
      </c>
      <c r="G80" s="18">
        <f t="shared" si="6"/>
        <v>36.192544335866813</v>
      </c>
      <c r="H80" s="19"/>
    </row>
    <row r="81" spans="1:8">
      <c r="A81" s="15"/>
      <c r="B81" s="19"/>
      <c r="C81" s="16" t="s">
        <v>22</v>
      </c>
      <c r="D81" s="17">
        <v>4</v>
      </c>
      <c r="E81" s="17">
        <v>1</v>
      </c>
      <c r="F81" s="18">
        <v>1502.71444082519</v>
      </c>
      <c r="G81" s="18">
        <f t="shared" si="6"/>
        <v>6010.8577633007599</v>
      </c>
      <c r="H81" s="19" t="s">
        <v>35</v>
      </c>
    </row>
    <row r="82" spans="1:8">
      <c r="A82" s="34"/>
      <c r="B82" s="19"/>
      <c r="C82" s="16" t="s">
        <v>22</v>
      </c>
      <c r="D82" s="17">
        <v>5</v>
      </c>
      <c r="E82" s="17">
        <v>1</v>
      </c>
      <c r="F82" s="18">
        <v>921.24502352515401</v>
      </c>
      <c r="G82" s="18">
        <f t="shared" si="6"/>
        <v>4606.2251176257705</v>
      </c>
      <c r="H82" s="19" t="s">
        <v>23</v>
      </c>
    </row>
    <row r="83" spans="1:8">
      <c r="A83" s="15"/>
      <c r="B83" s="19"/>
      <c r="C83" s="16" t="s">
        <v>36</v>
      </c>
      <c r="D83" s="17">
        <v>4</v>
      </c>
      <c r="E83" s="17">
        <v>1</v>
      </c>
      <c r="F83" s="18">
        <v>36.192544335866813</v>
      </c>
      <c r="G83" s="18">
        <f t="shared" si="6"/>
        <v>144.77017734346725</v>
      </c>
      <c r="H83" s="19"/>
    </row>
    <row r="84" spans="1:8">
      <c r="A84" s="15"/>
      <c r="B84" s="19"/>
      <c r="C84" s="27"/>
      <c r="D84" s="9"/>
      <c r="E84" s="9"/>
      <c r="F84" s="13"/>
      <c r="G84" s="13"/>
      <c r="H84" s="6"/>
    </row>
    <row r="85" spans="1:8">
      <c r="A85" s="15"/>
      <c r="B85" s="19"/>
      <c r="C85" s="16" t="s">
        <v>37</v>
      </c>
      <c r="D85" s="17">
        <v>1</v>
      </c>
      <c r="E85" s="17">
        <v>1</v>
      </c>
      <c r="F85" s="18">
        <v>15125.075642417663</v>
      </c>
      <c r="G85" s="18">
        <f>D85*E85*F85</f>
        <v>15125.075642417663</v>
      </c>
      <c r="H85" s="19" t="s">
        <v>38</v>
      </c>
    </row>
    <row r="86" spans="1:8">
      <c r="A86" s="34"/>
      <c r="B86" s="19"/>
      <c r="C86" s="16" t="s">
        <v>39</v>
      </c>
      <c r="D86" s="17">
        <v>30</v>
      </c>
      <c r="E86" s="17">
        <v>2</v>
      </c>
      <c r="F86" s="18">
        <v>52.455229822656534</v>
      </c>
      <c r="G86" s="18">
        <f>D86*E86*F86</f>
        <v>3147.3137893593921</v>
      </c>
      <c r="H86" s="19" t="s">
        <v>40</v>
      </c>
    </row>
    <row r="87" spans="1:8">
      <c r="A87" s="34"/>
      <c r="B87" s="19"/>
      <c r="C87" s="16" t="s">
        <v>41</v>
      </c>
      <c r="D87" s="17">
        <v>3</v>
      </c>
      <c r="E87" s="17">
        <v>1</v>
      </c>
      <c r="F87" s="18">
        <v>651.46579804560258</v>
      </c>
      <c r="G87" s="18">
        <f>D87*E87*F87</f>
        <v>1954.3973941368076</v>
      </c>
      <c r="H87" s="6"/>
    </row>
    <row r="88" spans="1:8">
      <c r="A88" s="34"/>
      <c r="B88" s="19"/>
      <c r="C88" s="16"/>
      <c r="D88" s="17"/>
      <c r="E88" s="17"/>
      <c r="F88" s="18"/>
      <c r="G88" s="18"/>
      <c r="H88" s="19"/>
    </row>
    <row r="89" spans="1:8">
      <c r="A89" s="34"/>
      <c r="B89" s="19"/>
      <c r="C89" s="16"/>
      <c r="D89" s="17"/>
      <c r="E89" s="17"/>
      <c r="F89" s="18"/>
      <c r="G89" s="18"/>
      <c r="H89" s="19"/>
    </row>
    <row r="90" spans="1:8">
      <c r="A90" s="34"/>
      <c r="B90" s="19"/>
      <c r="C90" s="16"/>
      <c r="D90" s="17"/>
      <c r="E90" s="17"/>
      <c r="F90" s="18"/>
      <c r="G90" s="18"/>
      <c r="H90" s="19"/>
    </row>
    <row r="91" spans="1:8">
      <c r="A91" s="34"/>
      <c r="B91" s="19"/>
      <c r="C91" s="16"/>
      <c r="D91" s="17"/>
      <c r="E91" s="17"/>
      <c r="F91" s="18"/>
      <c r="G91" s="18"/>
      <c r="H91" s="19"/>
    </row>
    <row r="92" spans="1:8">
      <c r="A92" s="15"/>
      <c r="B92" s="6"/>
      <c r="C92" s="27"/>
      <c r="D92" s="9"/>
      <c r="E92" s="9"/>
      <c r="F92" s="13"/>
      <c r="G92" s="13"/>
      <c r="H92" s="6"/>
    </row>
    <row r="93" spans="1:8">
      <c r="A93" s="15"/>
      <c r="B93" s="6"/>
      <c r="C93" s="27"/>
      <c r="D93" s="9"/>
      <c r="E93" s="9"/>
      <c r="F93" s="13"/>
      <c r="G93" s="13"/>
      <c r="H93" s="6"/>
    </row>
    <row r="94" spans="1:8">
      <c r="A94" s="40">
        <f>A72+1</f>
        <v>46122</v>
      </c>
      <c r="B94" s="41" t="str">
        <f>TEXT(A94,"ddd")</f>
        <v>Fri</v>
      </c>
      <c r="C94" s="28" t="s">
        <v>52</v>
      </c>
      <c r="D94" s="21"/>
      <c r="E94" s="21"/>
      <c r="F94" s="23"/>
      <c r="G94" s="23"/>
      <c r="H94" s="23"/>
    </row>
    <row r="95" spans="1:8">
      <c r="A95" s="15"/>
      <c r="B95" s="6"/>
      <c r="C95" s="16" t="s">
        <v>53</v>
      </c>
      <c r="D95" s="17">
        <v>2</v>
      </c>
      <c r="E95" s="17">
        <v>1</v>
      </c>
      <c r="F95" s="18">
        <v>361.92544335866808</v>
      </c>
      <c r="G95" s="18">
        <f>D95*E95*F95</f>
        <v>723.85088671733615</v>
      </c>
      <c r="H95" s="19" t="s">
        <v>54</v>
      </c>
    </row>
    <row r="96" spans="1:8">
      <c r="A96" s="15"/>
      <c r="B96" s="6"/>
      <c r="C96" s="16"/>
      <c r="D96" s="17"/>
      <c r="E96" s="17"/>
      <c r="F96" s="18"/>
      <c r="G96" s="18"/>
      <c r="H96" s="19"/>
    </row>
    <row r="97" spans="1:8">
      <c r="A97" s="15"/>
      <c r="B97" s="6"/>
      <c r="C97" s="16"/>
      <c r="D97" s="17"/>
      <c r="E97" s="17"/>
      <c r="F97" s="18"/>
      <c r="G97" s="18"/>
      <c r="H97" s="19"/>
    </row>
    <row r="98" spans="1:8">
      <c r="A98" s="15"/>
      <c r="B98" s="6"/>
      <c r="C98" s="16"/>
      <c r="D98" s="17"/>
      <c r="E98" s="17"/>
      <c r="F98" s="18"/>
      <c r="G98" s="18"/>
      <c r="H98" s="19"/>
    </row>
    <row r="99" spans="1:8">
      <c r="A99" s="15"/>
      <c r="B99" s="6"/>
      <c r="C99" s="16"/>
      <c r="D99" s="17"/>
      <c r="E99" s="17"/>
      <c r="F99" s="18"/>
      <c r="G99" s="18"/>
      <c r="H99" s="19"/>
    </row>
    <row r="100" spans="1:8">
      <c r="A100" s="15"/>
      <c r="B100" s="6"/>
      <c r="C100" s="16"/>
      <c r="D100" s="17"/>
      <c r="E100" s="17"/>
      <c r="F100" s="18"/>
      <c r="G100" s="18"/>
      <c r="H100" s="19"/>
    </row>
    <row r="101" spans="1:8">
      <c r="A101" s="15"/>
      <c r="B101" s="6"/>
      <c r="C101" s="16"/>
      <c r="D101" s="17"/>
      <c r="E101" s="17"/>
      <c r="F101" s="18"/>
      <c r="G101" s="18"/>
      <c r="H101" s="19"/>
    </row>
    <row r="102" spans="1:8">
      <c r="A102" s="15"/>
      <c r="B102" s="6"/>
      <c r="C102" s="16"/>
      <c r="D102" s="17"/>
      <c r="E102" s="17"/>
      <c r="F102" s="18"/>
      <c r="G102" s="18"/>
      <c r="H102" s="19"/>
    </row>
    <row r="103" spans="1:8">
      <c r="A103" s="15"/>
      <c r="B103" s="6"/>
      <c r="C103" s="16"/>
      <c r="D103" s="17"/>
      <c r="E103" s="17"/>
      <c r="F103" s="18"/>
      <c r="G103" s="18"/>
      <c r="H103" s="19"/>
    </row>
    <row r="104" spans="1:8">
      <c r="A104" s="15"/>
      <c r="B104" s="6"/>
      <c r="C104" s="16"/>
      <c r="D104" s="17"/>
      <c r="E104" s="17"/>
      <c r="F104" s="18"/>
      <c r="G104" s="18"/>
      <c r="H104" s="19"/>
    </row>
    <row r="105" spans="1:8">
      <c r="A105" s="15"/>
      <c r="B105" s="6"/>
      <c r="C105" s="16"/>
      <c r="D105" s="17"/>
      <c r="E105" s="17"/>
      <c r="F105" s="18"/>
      <c r="G105" s="18"/>
      <c r="H105" s="19"/>
    </row>
    <row r="106" spans="1:8">
      <c r="A106" s="34"/>
      <c r="B106" s="6"/>
      <c r="D106" s="31"/>
      <c r="E106" s="31"/>
    </row>
    <row r="107" spans="1:8">
      <c r="D107" s="31"/>
      <c r="E107" s="31"/>
    </row>
    <row r="108" spans="1:8">
      <c r="D108" s="31"/>
      <c r="E108" s="31"/>
    </row>
    <row r="109" spans="1:8">
      <c r="D109" s="31"/>
      <c r="E109" s="31"/>
    </row>
    <row r="110" spans="1:8">
      <c r="D110" s="31"/>
      <c r="E110" s="31"/>
    </row>
    <row r="111" spans="1:8">
      <c r="D111" s="31"/>
      <c r="E111" s="31"/>
    </row>
    <row r="112" spans="1:8">
      <c r="D112" s="31"/>
      <c r="E112" s="31"/>
    </row>
    <row r="113" spans="4:5">
      <c r="D113" s="31"/>
      <c r="E113" s="31"/>
    </row>
    <row r="114" spans="4:5">
      <c r="D114" s="31"/>
      <c r="E114" s="31"/>
    </row>
    <row r="115" spans="4:5">
      <c r="D115" s="31"/>
      <c r="E115" s="31"/>
    </row>
    <row r="116" spans="4:5">
      <c r="D116" s="31"/>
      <c r="E116" s="31"/>
    </row>
    <row r="117" spans="4:5">
      <c r="D117" s="31"/>
      <c r="E117" s="31"/>
    </row>
    <row r="118" spans="4:5">
      <c r="D118" s="31"/>
      <c r="E118" s="31"/>
    </row>
    <row r="119" spans="4:5">
      <c r="D119" s="31"/>
      <c r="E119" s="31"/>
    </row>
    <row r="120" spans="4:5">
      <c r="D120" s="31"/>
      <c r="E120" s="31"/>
    </row>
    <row r="121" spans="4:5">
      <c r="D121" s="31"/>
      <c r="E121" s="31"/>
    </row>
    <row r="122" spans="4:5">
      <c r="D122" s="31"/>
      <c r="E122" s="31"/>
    </row>
    <row r="123" spans="4:5">
      <c r="D123" s="31"/>
      <c r="E123" s="31"/>
    </row>
    <row r="124" spans="4:5">
      <c r="D124" s="31"/>
      <c r="E124" s="31"/>
    </row>
    <row r="125" spans="4:5">
      <c r="D125" s="31"/>
      <c r="E125" s="31"/>
    </row>
    <row r="126" spans="4:5">
      <c r="D126" s="31"/>
      <c r="E126" s="31"/>
    </row>
    <row r="127" spans="4:5">
      <c r="D127" s="31"/>
      <c r="E127" s="31"/>
    </row>
    <row r="128" spans="4:5">
      <c r="D128" s="31"/>
      <c r="E128" s="31"/>
    </row>
    <row r="129" spans="4:5">
      <c r="D129" s="31"/>
      <c r="E129" s="31"/>
    </row>
    <row r="130" spans="4:5">
      <c r="D130" s="31"/>
      <c r="E130" s="31"/>
    </row>
    <row r="131" spans="4:5">
      <c r="D131" s="31"/>
      <c r="E131" s="31"/>
    </row>
    <row r="132" spans="4:5">
      <c r="D132" s="31"/>
      <c r="E132" s="31"/>
    </row>
    <row r="133" spans="4:5">
      <c r="D133" s="31"/>
      <c r="E133" s="31"/>
    </row>
    <row r="134" spans="4:5">
      <c r="D134" s="31"/>
      <c r="E134" s="31"/>
    </row>
    <row r="135" spans="4:5">
      <c r="D135" s="31"/>
      <c r="E135" s="31"/>
    </row>
    <row r="136" spans="4:5">
      <c r="D136" s="31"/>
      <c r="E136" s="31"/>
    </row>
    <row r="137" spans="4:5">
      <c r="D137" s="31"/>
      <c r="E137" s="31"/>
    </row>
    <row r="138" spans="4:5">
      <c r="D138" s="31"/>
      <c r="E138" s="31"/>
    </row>
    <row r="139" spans="4:5">
      <c r="D139" s="31"/>
      <c r="E139" s="31"/>
    </row>
    <row r="140" spans="4:5">
      <c r="D140" s="31"/>
      <c r="E140" s="31"/>
    </row>
    <row r="141" spans="4:5">
      <c r="D141" s="31"/>
      <c r="E141" s="31"/>
    </row>
    <row r="142" spans="4:5">
      <c r="D142" s="31"/>
      <c r="E142" s="31"/>
    </row>
    <row r="143" spans="4:5">
      <c r="D143" s="31"/>
      <c r="E143" s="31"/>
    </row>
    <row r="144" spans="4:5">
      <c r="D144" s="31"/>
      <c r="E144" s="31"/>
    </row>
    <row r="145" spans="4:5">
      <c r="D145" s="31"/>
      <c r="E145" s="31"/>
    </row>
    <row r="146" spans="4:5">
      <c r="D146" s="31"/>
      <c r="E146" s="31"/>
    </row>
    <row r="147" spans="4:5">
      <c r="D147" s="31"/>
      <c r="E147" s="31"/>
    </row>
    <row r="148" spans="4:5">
      <c r="D148" s="31"/>
      <c r="E148" s="31"/>
    </row>
    <row r="149" spans="4:5">
      <c r="D149" s="31"/>
      <c r="E149" s="31"/>
    </row>
    <row r="150" spans="4:5">
      <c r="D150" s="31"/>
      <c r="E150" s="31"/>
    </row>
    <row r="151" spans="4:5">
      <c r="D151" s="31"/>
      <c r="E151" s="31"/>
    </row>
    <row r="152" spans="4:5">
      <c r="D152" s="31"/>
      <c r="E152" s="31"/>
    </row>
    <row r="153" spans="4:5">
      <c r="D153" s="31"/>
      <c r="E153" s="31"/>
    </row>
    <row r="154" spans="4:5">
      <c r="D154" s="31"/>
      <c r="E154" s="31"/>
    </row>
    <row r="155" spans="4:5">
      <c r="D155" s="31"/>
      <c r="E155" s="31"/>
    </row>
    <row r="156" spans="4:5">
      <c r="D156" s="31"/>
      <c r="E156" s="31"/>
    </row>
    <row r="157" spans="4:5">
      <c r="D157" s="31"/>
      <c r="E157" s="31"/>
    </row>
    <row r="158" spans="4:5">
      <c r="D158" s="31"/>
      <c r="E158" s="31"/>
    </row>
    <row r="159" spans="4:5">
      <c r="D159" s="31"/>
      <c r="E159" s="31"/>
    </row>
    <row r="160" spans="4:5">
      <c r="D160" s="31"/>
      <c r="E160" s="31"/>
    </row>
    <row r="161" spans="4:5">
      <c r="D161" s="31"/>
      <c r="E161" s="31"/>
    </row>
    <row r="162" spans="4:5">
      <c r="D162" s="31"/>
      <c r="E162" s="31"/>
    </row>
    <row r="163" spans="4:5">
      <c r="D163" s="31"/>
      <c r="E163" s="31"/>
    </row>
    <row r="164" spans="4:5">
      <c r="D164" s="31"/>
      <c r="E164" s="31"/>
    </row>
    <row r="165" spans="4:5">
      <c r="D165" s="31"/>
      <c r="E165" s="31"/>
    </row>
    <row r="166" spans="4:5">
      <c r="D166" s="31"/>
      <c r="E166" s="31"/>
    </row>
    <row r="167" spans="4:5">
      <c r="D167" s="31"/>
      <c r="E167" s="31"/>
    </row>
    <row r="168" spans="4:5">
      <c r="D168" s="31"/>
      <c r="E168" s="31"/>
    </row>
    <row r="169" spans="4:5">
      <c r="D169" s="31"/>
      <c r="E169" s="31"/>
    </row>
    <row r="170" spans="4:5">
      <c r="D170" s="31"/>
      <c r="E170" s="31"/>
    </row>
    <row r="171" spans="4:5">
      <c r="D171" s="31"/>
      <c r="E171" s="31"/>
    </row>
    <row r="172" spans="4:5">
      <c r="D172" s="31"/>
      <c r="E172" s="31"/>
    </row>
    <row r="173" spans="4:5">
      <c r="D173" s="31"/>
      <c r="E173" s="31"/>
    </row>
    <row r="174" spans="4:5">
      <c r="D174" s="31"/>
      <c r="E174" s="31"/>
    </row>
    <row r="175" spans="4:5">
      <c r="D175" s="31"/>
      <c r="E175" s="31"/>
    </row>
    <row r="176" spans="4:5">
      <c r="D176" s="31"/>
      <c r="E176" s="31"/>
    </row>
    <row r="177" spans="4:5">
      <c r="D177" s="31"/>
      <c r="E177" s="31"/>
    </row>
    <row r="178" spans="4:5">
      <c r="D178" s="31"/>
      <c r="E178" s="31"/>
    </row>
    <row r="179" spans="4:5">
      <c r="D179" s="31"/>
      <c r="E179" s="31"/>
    </row>
    <row r="180" spans="4:5">
      <c r="D180" s="31"/>
      <c r="E180" s="31"/>
    </row>
    <row r="181" spans="4:5">
      <c r="D181" s="31"/>
      <c r="E181" s="31"/>
    </row>
    <row r="182" spans="4:5">
      <c r="D182" s="31"/>
      <c r="E182" s="31"/>
    </row>
    <row r="183" spans="4:5">
      <c r="D183" s="31"/>
      <c r="E183" s="31"/>
    </row>
    <row r="184" spans="4:5">
      <c r="D184" s="31"/>
      <c r="E184" s="31"/>
    </row>
    <row r="185" spans="4:5">
      <c r="D185" s="31"/>
      <c r="E185" s="31"/>
    </row>
    <row r="186" spans="4:5">
      <c r="D186" s="31"/>
      <c r="E186" s="31"/>
    </row>
    <row r="187" spans="4:5">
      <c r="D187" s="31"/>
      <c r="E187" s="31"/>
    </row>
    <row r="188" spans="4:5">
      <c r="D188" s="31"/>
      <c r="E188" s="31"/>
    </row>
    <row r="189" spans="4:5">
      <c r="D189" s="31"/>
      <c r="E189" s="31"/>
    </row>
    <row r="190" spans="4:5">
      <c r="D190" s="31"/>
      <c r="E190" s="31"/>
    </row>
    <row r="191" spans="4:5">
      <c r="D191" s="31"/>
      <c r="E191" s="31"/>
    </row>
    <row r="192" spans="4:5">
      <c r="D192" s="31"/>
      <c r="E192" s="31"/>
    </row>
    <row r="193" spans="4:5">
      <c r="D193" s="31"/>
      <c r="E193" s="31"/>
    </row>
    <row r="194" spans="4:5">
      <c r="D194" s="31"/>
      <c r="E194" s="31"/>
    </row>
    <row r="195" spans="4:5">
      <c r="D195" s="31"/>
      <c r="E195" s="31"/>
    </row>
    <row r="196" spans="4:5">
      <c r="D196" s="31"/>
      <c r="E196" s="31"/>
    </row>
    <row r="197" spans="4:5">
      <c r="D197" s="31"/>
      <c r="E197" s="31"/>
    </row>
    <row r="198" spans="4:5">
      <c r="D198" s="31"/>
      <c r="E198" s="31"/>
    </row>
    <row r="199" spans="4:5">
      <c r="D199" s="31"/>
      <c r="E199" s="31"/>
    </row>
    <row r="200" spans="4:5">
      <c r="D200" s="31"/>
      <c r="E200" s="31"/>
    </row>
    <row r="201" spans="4:5">
      <c r="D201" s="31"/>
      <c r="E201" s="31"/>
    </row>
    <row r="202" spans="4:5">
      <c r="D202" s="31"/>
      <c r="E202" s="31"/>
    </row>
    <row r="203" spans="4:5">
      <c r="D203" s="31"/>
      <c r="E203" s="31"/>
    </row>
    <row r="204" spans="4:5">
      <c r="D204" s="31"/>
      <c r="E204" s="31"/>
    </row>
    <row r="205" spans="4:5">
      <c r="D205" s="31"/>
      <c r="E205" s="31"/>
    </row>
    <row r="206" spans="4:5">
      <c r="D206" s="31"/>
      <c r="E206" s="31"/>
    </row>
    <row r="207" spans="4:5">
      <c r="D207" s="31"/>
      <c r="E207" s="31"/>
    </row>
    <row r="208" spans="4:5">
      <c r="D208" s="31"/>
      <c r="E208" s="31"/>
    </row>
    <row r="209" spans="4:5">
      <c r="D209" s="31"/>
      <c r="E209" s="31"/>
    </row>
    <row r="210" spans="4:5">
      <c r="D210" s="31"/>
      <c r="E210" s="31"/>
    </row>
    <row r="211" spans="4:5">
      <c r="D211" s="31"/>
      <c r="E211" s="31"/>
    </row>
    <row r="212" spans="4:5">
      <c r="D212" s="31"/>
      <c r="E212" s="31"/>
    </row>
    <row r="213" spans="4:5">
      <c r="D213" s="31"/>
      <c r="E213" s="31"/>
    </row>
    <row r="214" spans="4:5">
      <c r="D214" s="31"/>
      <c r="E214" s="31"/>
    </row>
    <row r="215" spans="4:5">
      <c r="D215" s="31"/>
      <c r="E215" s="31"/>
    </row>
    <row r="216" spans="4:5">
      <c r="D216" s="31"/>
      <c r="E216" s="31"/>
    </row>
    <row r="217" spans="4:5">
      <c r="D217" s="31"/>
      <c r="E217" s="31"/>
    </row>
    <row r="218" spans="4:5">
      <c r="D218" s="31"/>
      <c r="E218" s="31"/>
    </row>
    <row r="219" spans="4:5">
      <c r="D219" s="31"/>
      <c r="E219" s="31"/>
    </row>
    <row r="220" spans="4:5">
      <c r="D220" s="31"/>
      <c r="E220" s="31"/>
    </row>
    <row r="221" spans="4:5">
      <c r="D221" s="31"/>
      <c r="E221" s="31"/>
    </row>
    <row r="222" spans="4:5">
      <c r="D222" s="31"/>
      <c r="E222" s="31"/>
    </row>
    <row r="223" spans="4:5">
      <c r="D223" s="31"/>
      <c r="E223" s="31"/>
    </row>
    <row r="224" spans="4:5">
      <c r="D224" s="31"/>
      <c r="E224" s="31"/>
    </row>
    <row r="225" spans="4:5">
      <c r="D225" s="31"/>
      <c r="E225" s="31"/>
    </row>
    <row r="226" spans="4:5">
      <c r="D226" s="31"/>
      <c r="E226" s="31"/>
    </row>
    <row r="227" spans="4:5">
      <c r="D227" s="31"/>
      <c r="E227" s="31"/>
    </row>
    <row r="228" spans="4:5">
      <c r="D228" s="31"/>
      <c r="E228" s="31"/>
    </row>
    <row r="229" spans="4:5">
      <c r="D229" s="31"/>
      <c r="E229" s="31"/>
    </row>
    <row r="230" spans="4:5">
      <c r="D230" s="31"/>
      <c r="E230" s="31"/>
    </row>
    <row r="231" spans="4:5">
      <c r="D231" s="31"/>
      <c r="E231" s="31"/>
    </row>
    <row r="232" spans="4:5">
      <c r="D232" s="31"/>
      <c r="E232" s="31"/>
    </row>
    <row r="233" spans="4:5">
      <c r="D233" s="31"/>
      <c r="E233" s="31"/>
    </row>
    <row r="234" spans="4:5">
      <c r="D234" s="31"/>
      <c r="E234" s="31"/>
    </row>
    <row r="235" spans="4:5">
      <c r="D235" s="31"/>
      <c r="E235" s="31"/>
    </row>
    <row r="236" spans="4:5">
      <c r="D236" s="31"/>
      <c r="E236" s="31"/>
    </row>
    <row r="237" spans="4:5">
      <c r="D237" s="31"/>
      <c r="E237" s="31"/>
    </row>
    <row r="238" spans="4:5">
      <c r="D238" s="31"/>
      <c r="E238" s="31"/>
    </row>
    <row r="239" spans="4:5">
      <c r="D239" s="31"/>
      <c r="E239" s="31"/>
    </row>
    <row r="240" spans="4:5">
      <c r="D240" s="31"/>
      <c r="E240" s="31"/>
    </row>
    <row r="241" spans="4:5">
      <c r="D241" s="31"/>
      <c r="E241" s="31"/>
    </row>
    <row r="242" spans="4:5">
      <c r="D242" s="31"/>
      <c r="E242" s="31"/>
    </row>
    <row r="243" spans="4:5">
      <c r="D243" s="31"/>
      <c r="E243" s="31"/>
    </row>
    <row r="244" spans="4:5">
      <c r="D244" s="31"/>
      <c r="E244" s="31"/>
    </row>
    <row r="245" spans="4:5">
      <c r="D245" s="31"/>
      <c r="E245" s="31"/>
    </row>
    <row r="246" spans="4:5">
      <c r="D246" s="31"/>
      <c r="E246" s="31"/>
    </row>
    <row r="247" spans="4:5">
      <c r="D247" s="31"/>
      <c r="E247" s="31"/>
    </row>
    <row r="248" spans="4:5">
      <c r="D248" s="31"/>
      <c r="E248" s="31"/>
    </row>
    <row r="249" spans="4:5">
      <c r="D249" s="31"/>
      <c r="E249" s="31"/>
    </row>
    <row r="250" spans="4:5">
      <c r="D250" s="31"/>
      <c r="E250" s="31"/>
    </row>
    <row r="251" spans="4:5">
      <c r="D251" s="31"/>
      <c r="E251" s="31"/>
    </row>
    <row r="252" spans="4:5">
      <c r="D252" s="31"/>
      <c r="E252" s="31"/>
    </row>
    <row r="253" spans="4:5">
      <c r="D253" s="31"/>
      <c r="E253" s="31"/>
    </row>
    <row r="254" spans="4:5">
      <c r="D254" s="31"/>
      <c r="E254" s="31"/>
    </row>
    <row r="255" spans="4:5">
      <c r="D255" s="31"/>
      <c r="E255" s="31"/>
    </row>
    <row r="256" spans="4:5">
      <c r="D256" s="31"/>
      <c r="E256" s="31"/>
    </row>
    <row r="257" spans="4:5">
      <c r="D257" s="31"/>
      <c r="E257" s="31"/>
    </row>
    <row r="258" spans="4:5">
      <c r="D258" s="31"/>
      <c r="E258" s="31"/>
    </row>
    <row r="259" spans="4:5">
      <c r="D259" s="31"/>
      <c r="E259" s="31"/>
    </row>
    <row r="260" spans="4:5">
      <c r="D260" s="31"/>
      <c r="E260" s="31"/>
    </row>
    <row r="261" spans="4:5">
      <c r="D261" s="31"/>
      <c r="E261" s="31"/>
    </row>
    <row r="262" spans="4:5">
      <c r="D262" s="31"/>
      <c r="E262" s="31"/>
    </row>
    <row r="263" spans="4:5">
      <c r="D263" s="31"/>
      <c r="E263" s="31"/>
    </row>
    <row r="264" spans="4:5">
      <c r="D264" s="31"/>
      <c r="E264" s="31"/>
    </row>
    <row r="265" spans="4:5">
      <c r="D265" s="31"/>
      <c r="E265" s="31"/>
    </row>
    <row r="266" spans="4:5">
      <c r="D266" s="31"/>
      <c r="E266" s="31"/>
    </row>
    <row r="267" spans="4:5">
      <c r="D267" s="31"/>
      <c r="E267" s="31"/>
    </row>
    <row r="268" spans="4:5">
      <c r="D268" s="31"/>
      <c r="E268" s="31"/>
    </row>
    <row r="269" spans="4:5">
      <c r="D269" s="31"/>
      <c r="E269" s="31"/>
    </row>
    <row r="270" spans="4:5">
      <c r="D270" s="31"/>
      <c r="E270" s="31"/>
    </row>
    <row r="271" spans="4:5">
      <c r="D271" s="31"/>
      <c r="E271" s="31"/>
    </row>
    <row r="272" spans="4:5">
      <c r="D272" s="31"/>
      <c r="E272" s="31"/>
    </row>
    <row r="273" spans="4:5">
      <c r="D273" s="31"/>
      <c r="E273" s="31"/>
    </row>
    <row r="274" spans="4:5">
      <c r="D274" s="31"/>
      <c r="E274" s="31"/>
    </row>
    <row r="275" spans="4:5">
      <c r="D275" s="31"/>
      <c r="E275" s="31"/>
    </row>
    <row r="276" spans="4:5">
      <c r="D276" s="31"/>
      <c r="E276" s="31"/>
    </row>
    <row r="277" spans="4:5">
      <c r="D277" s="31"/>
      <c r="E277" s="31"/>
    </row>
    <row r="278" spans="4:5">
      <c r="D278" s="31"/>
      <c r="E278" s="31"/>
    </row>
    <row r="279" spans="4:5">
      <c r="D279" s="31"/>
      <c r="E279" s="31"/>
    </row>
    <row r="280" spans="4:5">
      <c r="D280" s="31"/>
      <c r="E280" s="31"/>
    </row>
    <row r="281" spans="4:5">
      <c r="D281" s="31"/>
      <c r="E281" s="31"/>
    </row>
    <row r="282" spans="4:5">
      <c r="D282" s="31"/>
      <c r="E282" s="31"/>
    </row>
    <row r="283" spans="4:5">
      <c r="D283" s="31"/>
      <c r="E283" s="31"/>
    </row>
    <row r="284" spans="4:5">
      <c r="D284" s="31"/>
      <c r="E284" s="31"/>
    </row>
    <row r="285" spans="4:5">
      <c r="D285" s="31"/>
      <c r="E285" s="31"/>
    </row>
    <row r="286" spans="4:5">
      <c r="D286" s="31"/>
      <c r="E286" s="31"/>
    </row>
    <row r="287" spans="4:5">
      <c r="D287" s="31"/>
      <c r="E287" s="31"/>
    </row>
    <row r="288" spans="4:5">
      <c r="D288" s="31"/>
      <c r="E288" s="31"/>
    </row>
    <row r="289" spans="4:5">
      <c r="D289" s="31"/>
      <c r="E289" s="31"/>
    </row>
    <row r="290" spans="4:5">
      <c r="D290" s="31"/>
      <c r="E290" s="31"/>
    </row>
    <row r="291" spans="4:5">
      <c r="D291" s="31"/>
      <c r="E291" s="31"/>
    </row>
    <row r="292" spans="4:5">
      <c r="D292" s="31"/>
      <c r="E292" s="31"/>
    </row>
    <row r="293" spans="4:5">
      <c r="D293" s="31"/>
      <c r="E293" s="31"/>
    </row>
    <row r="294" spans="4:5">
      <c r="D294" s="31"/>
      <c r="E294" s="31"/>
    </row>
    <row r="295" spans="4:5">
      <c r="D295" s="31"/>
      <c r="E295" s="31"/>
    </row>
    <row r="296" spans="4:5">
      <c r="D296" s="31"/>
      <c r="E296" s="31"/>
    </row>
    <row r="297" spans="4:5">
      <c r="D297" s="31"/>
      <c r="E297" s="31"/>
    </row>
    <row r="298" spans="4:5">
      <c r="D298" s="31"/>
      <c r="E298" s="31"/>
    </row>
    <row r="299" spans="4:5">
      <c r="D299" s="31"/>
      <c r="E299" s="31"/>
    </row>
    <row r="300" spans="4:5">
      <c r="D300" s="31"/>
      <c r="E300" s="31"/>
    </row>
    <row r="301" spans="4:5">
      <c r="D301" s="31"/>
      <c r="E301" s="31"/>
    </row>
    <row r="302" spans="4:5">
      <c r="D302" s="31"/>
      <c r="E302" s="31"/>
    </row>
    <row r="303" spans="4:5">
      <c r="D303" s="31"/>
      <c r="E303" s="31"/>
    </row>
    <row r="304" spans="4:5">
      <c r="D304" s="31"/>
      <c r="E304" s="31"/>
    </row>
    <row r="305" spans="4:5">
      <c r="D305" s="31"/>
      <c r="E305" s="31"/>
    </row>
    <row r="306" spans="4:5">
      <c r="D306" s="31"/>
      <c r="E306" s="31"/>
    </row>
    <row r="307" spans="4:5">
      <c r="D307" s="31"/>
      <c r="E307" s="31"/>
    </row>
    <row r="308" spans="4:5">
      <c r="D308" s="31"/>
      <c r="E308" s="31"/>
    </row>
    <row r="309" spans="4:5">
      <c r="D309" s="31"/>
      <c r="E309" s="31"/>
    </row>
    <row r="310" spans="4:5">
      <c r="D310" s="31"/>
      <c r="E310" s="31"/>
    </row>
    <row r="311" spans="4:5">
      <c r="D311" s="31"/>
      <c r="E311" s="31"/>
    </row>
    <row r="312" spans="4:5">
      <c r="D312" s="31"/>
      <c r="E312" s="31"/>
    </row>
    <row r="313" spans="4:5">
      <c r="D313" s="31"/>
      <c r="E313" s="31"/>
    </row>
    <row r="314" spans="4:5">
      <c r="D314" s="31"/>
      <c r="E314" s="31"/>
    </row>
    <row r="315" spans="4:5">
      <c r="D315" s="31"/>
      <c r="E315" s="31"/>
    </row>
    <row r="316" spans="4:5">
      <c r="D316" s="31"/>
      <c r="E316" s="31"/>
    </row>
  </sheetData>
  <mergeCells count="6">
    <mergeCell ref="H1:H4"/>
    <mergeCell ref="B2:B4"/>
    <mergeCell ref="A1:A3"/>
    <mergeCell ref="C1:C3"/>
    <mergeCell ref="E1:E4"/>
    <mergeCell ref="D1:D4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</dc:creator>
  <cp:lastModifiedBy>usrr</cp:lastModifiedBy>
  <dcterms:created xsi:type="dcterms:W3CDTF">2026-03-05T11:26:58Z</dcterms:created>
  <dcterms:modified xsi:type="dcterms:W3CDTF">2026-03-22T14:51:58Z</dcterms:modified>
</cp:coreProperties>
</file>
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Япо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BC002D"/>
      <sz val="12"/>
    </font>
    <font>
      <name val="Arial"/>
      <b val="1"/>
      <color rgb="00666666"/>
      <sz val="9"/>
    </font>
    <font>
      <name val="Arial"/>
      <color rgb="001C1C1E"/>
      <sz val="9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C1C1E"/>
      <sz val="9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b val="1"/>
      <color rgb="00444444"/>
      <sz val="9"/>
    </font>
    <font>
      <name val="Arial"/>
      <b val="1"/>
      <color rgb="00BC002D"/>
      <sz val="11"/>
    </font>
    <font>
      <name val="Arial"/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5F5F5"/>
      </patternFill>
    </fill>
    <fill>
      <patternFill patternType="solid">
        <fgColor rgb="00BC002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8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0" fontId="9" fillId="5" borderId="1" pivotButton="0" quotePrefix="0" xfId="0"/>
    <xf numFmtId="0" fontId="9" fillId="3" borderId="1" pivotButton="0" quotePrefix="0" xfId="0"/>
    <xf numFmtId="0" fontId="10" fillId="2" borderId="0" applyAlignment="1" pivotButton="0" quotePrefix="0" xfId="0">
      <alignment horizontal="right" vertical="center" indent="1"/>
    </xf>
    <xf numFmtId="4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11" fillId="0" borderId="0" pivotButton="0" quotePrefix="0" xfId="0"/>
    <xf numFmtId="4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" customWidth="1" min="2" max="2"/>
    <col width="44" customWidth="1" min="3" max="3"/>
    <col width="9" customWidth="1" min="4" max="4"/>
    <col width="7" customWidth="1" min="5" max="5"/>
    <col width="3" customWidth="1" min="6" max="6"/>
    <col width="16" customWidth="1" min="7" max="7"/>
    <col width="16" customWidth="1" min="8" max="8"/>
    <col width="36" customWidth="1" min="9" max="9"/>
  </cols>
  <sheetData>
    <row r="1" ht="26" customHeight="1">
      <c r="A1" s="1" t="inlineStr">
        <is>
          <t>КОММЕРЧЕСКОЕ ПРЕДЛОЖЕНИЕ — ЯПОНИЯ, ТОКИО</t>
        </is>
      </c>
    </row>
    <row r="2" ht="22" customHeight="1">
      <c r="A2" s="2" t="inlineStr">
        <is>
          <t>ООО Тест</t>
        </is>
      </c>
    </row>
    <row r="3" ht="15" customHeight="1">
      <c r="A3" s="3" t="inlineStr">
        <is>
          <t>Количество человек</t>
        </is>
      </c>
      <c r="B3" s="4" t="inlineStr">
        <is>
          <t>40</t>
        </is>
      </c>
    </row>
    <row r="4" ht="15" customHeight="1">
      <c r="A4" s="3" t="inlineStr">
        <is>
          <t>Продолжительность</t>
        </is>
      </c>
      <c r="B4" s="4" t="inlineStr">
        <is>
          <t>3 дней / 2 ночей</t>
        </is>
      </c>
    </row>
    <row r="5" ht="15" customHeight="1">
      <c r="A5" s="3" t="inlineStr">
        <is>
          <t>Даты</t>
        </is>
      </c>
      <c r="B5" s="4" t="inlineStr">
        <is>
          <t>апрель 2026</t>
        </is>
      </c>
    </row>
    <row r="6" ht="15" customHeight="1">
      <c r="A6" s="3" t="inlineStr">
        <is>
          <t>Тип размещения</t>
        </is>
      </c>
      <c r="B6" s="4" t="inlineStr">
        <is>
          <t>DBL | 5*</t>
        </is>
      </c>
    </row>
    <row r="7" ht="15" customHeight="1">
      <c r="A7" s="3" t="inlineStr">
        <is>
          <t>Тип мероприятия</t>
        </is>
      </c>
      <c r="B7" s="4" t="inlineStr">
        <is>
          <t>Инсентив</t>
        </is>
      </c>
    </row>
    <row r="9" ht="24" customHeight="1">
      <c r="A9" s="5" t="inlineStr">
        <is>
          <t>ВАЖНО! Все цены предварительные и подлежат подтверждению при бронировании. Бронирование не произведено. При изменении курса иены производится перерасчёт.</t>
        </is>
      </c>
    </row>
    <row r="11" ht="22" customHeight="1">
      <c r="A11" s="6" t="inlineStr">
        <is>
          <t>Дата</t>
        </is>
      </c>
      <c r="B11" s="6" t="inlineStr"/>
      <c r="C11" s="6" t="inlineStr">
        <is>
          <t>Сервис / Позиция</t>
        </is>
      </c>
      <c r="D11" s="6" t="inlineStr">
        <is>
          <t>Кол-во</t>
        </is>
      </c>
      <c r="E11" s="6" t="inlineStr">
        <is>
          <t>Дней</t>
        </is>
      </c>
      <c r="F11" s="6" t="inlineStr"/>
      <c r="G11" s="6" t="inlineStr">
        <is>
          <t>Цена за ед. (USD)</t>
        </is>
      </c>
      <c r="H11" s="6" t="inlineStr">
        <is>
          <t>Итого (USD)</t>
        </is>
      </c>
      <c r="I11" s="6" t="inlineStr">
        <is>
          <t>Комментарий</t>
        </is>
      </c>
    </row>
    <row r="12" ht="18" customHeight="1">
      <c r="A12" s="7" t="inlineStr">
        <is>
          <t xml:space="preserve">  РАЗМЕЩЕНИЕ</t>
        </is>
      </c>
    </row>
    <row r="13" ht="16" customHeight="1">
      <c r="A13" s="8" t="n"/>
      <c r="B13" s="8" t="n"/>
      <c r="C13" s="8" t="inlineStr">
        <is>
          <t>Отель 5*, Токио (DBL, двухместных номеров)</t>
        </is>
      </c>
      <c r="D13" s="9" t="n">
        <v>20</v>
      </c>
      <c r="E13" s="9" t="n">
        <v>2</v>
      </c>
      <c r="F13" s="8" t="n"/>
      <c r="G13" s="10" t="n">
        <v>400</v>
      </c>
      <c r="H13" s="11">
        <f>D13*E13*G13</f>
        <v/>
      </c>
      <c r="I13" s="12" t="inlineStr">
        <is>
          <t>Ориентировочная цена, подтверждается при бронировании</t>
        </is>
      </c>
    </row>
    <row r="15" ht="18" customHeight="1">
      <c r="A15" s="7" t="inlineStr">
        <is>
          <t xml:space="preserve">  День 1. Прилёт в аэропорт Ханэда, трансфер в отель.</t>
        </is>
      </c>
    </row>
    <row r="16" ht="16" customHeight="1">
      <c r="A16" s="13" t="n"/>
      <c r="B16" s="13" t="n"/>
      <c r="C16" s="13" t="inlineStr">
        <is>
          <t>Гид (полный день)</t>
        </is>
      </c>
      <c r="D16" s="14" t="n">
        <v>1</v>
      </c>
      <c r="E16" s="14" t="n">
        <v>1</v>
      </c>
      <c r="F16" s="13" t="n"/>
      <c r="G16" s="15" t="n">
        <v>1013.39</v>
      </c>
      <c r="H16" s="16">
        <f>D16*E16*G16</f>
        <v/>
      </c>
      <c r="I16" s="17" t="inlineStr">
        <is>
          <t>9:00–21:00</t>
        </is>
      </c>
    </row>
    <row r="17" ht="16" customHeight="1">
      <c r="A17" s="8" t="n"/>
      <c r="B17" s="8" t="n"/>
      <c r="C17" s="8" t="inlineStr">
        <is>
          <t>Автобус (большой)</t>
        </is>
      </c>
      <c r="D17" s="9" t="n">
        <v>1</v>
      </c>
      <c r="E17" s="9" t="n">
        <v>1</v>
      </c>
      <c r="F17" s="8" t="n"/>
      <c r="G17" s="10" t="n">
        <v>2026.78</v>
      </c>
      <c r="H17" s="11">
        <f>D17*E17*G17</f>
        <v/>
      </c>
      <c r="I17" s="18" t="inlineStr">
        <is>
          <t>9:00–21:00</t>
        </is>
      </c>
    </row>
    <row r="18" ht="16" customHeight="1">
      <c r="A18" s="13" t="n"/>
      <c r="B18" s="13" t="n"/>
      <c r="C18" s="13" t="inlineStr">
        <is>
          <t>Обед</t>
        </is>
      </c>
      <c r="D18" s="14" t="n">
        <v>41</v>
      </c>
      <c r="E18" s="14" t="n">
        <v>1</v>
      </c>
      <c r="F18" s="13" t="n"/>
      <c r="G18" s="15" t="n">
        <v>57.91</v>
      </c>
      <c r="H18" s="16">
        <f>D18*E18*G18</f>
        <v/>
      </c>
      <c r="I18" s="13" t="n"/>
    </row>
    <row r="19" ht="16" customHeight="1">
      <c r="A19" s="8" t="n"/>
      <c r="B19" s="8" t="n"/>
      <c r="C19" s="8" t="inlineStr">
        <is>
          <t>Напитки</t>
        </is>
      </c>
      <c r="D19" s="9" t="n">
        <v>40</v>
      </c>
      <c r="E19" s="9" t="n">
        <v>1</v>
      </c>
      <c r="F19" s="8" t="n"/>
      <c r="G19" s="10" t="n">
        <v>31.85</v>
      </c>
      <c r="H19" s="11">
        <f>D19*E19*G19</f>
        <v/>
      </c>
      <c r="I19" s="18" t="inlineStr">
        <is>
          <t>бокал вина</t>
        </is>
      </c>
    </row>
    <row r="20" ht="16" customHeight="1">
      <c r="A20" s="13" t="n"/>
      <c r="B20" s="13" t="n"/>
      <c r="C20" s="13" t="inlineStr">
        <is>
          <t>Ужин</t>
        </is>
      </c>
      <c r="D20" s="14" t="n">
        <v>40</v>
      </c>
      <c r="E20" s="14" t="n">
        <v>1</v>
      </c>
      <c r="F20" s="13" t="n"/>
      <c r="G20" s="15" t="n">
        <v>253.35</v>
      </c>
      <c r="H20" s="16">
        <f>D20*E20*G20</f>
        <v/>
      </c>
      <c r="I20" s="17" t="inlineStr">
        <is>
          <t>премиальный ресторан</t>
        </is>
      </c>
    </row>
    <row r="21" ht="16" customHeight="1">
      <c r="A21" s="8" t="n"/>
      <c r="B21" s="8" t="n"/>
      <c r="C21" s="8" t="inlineStr">
        <is>
          <t>Напитки</t>
        </is>
      </c>
      <c r="D21" s="9" t="n">
        <v>40</v>
      </c>
      <c r="E21" s="9" t="n">
        <v>1</v>
      </c>
      <c r="F21" s="8" t="n"/>
      <c r="G21" s="10" t="n">
        <v>57.91</v>
      </c>
      <c r="H21" s="11">
        <f>D21*E21*G21</f>
        <v/>
      </c>
      <c r="I21" s="18" t="inlineStr">
        <is>
          <t>2 бокала вина</t>
        </is>
      </c>
    </row>
    <row r="22" ht="16" customHeight="1">
      <c r="A22" s="13" t="n"/>
      <c r="B22" s="13" t="n"/>
      <c r="C22" s="13" t="inlineStr">
        <is>
          <t>Ужин для гида</t>
        </is>
      </c>
      <c r="D22" s="14" t="n">
        <v>1</v>
      </c>
      <c r="E22" s="14" t="n">
        <v>1</v>
      </c>
      <c r="F22" s="13" t="n"/>
      <c r="G22" s="15" t="n">
        <v>36.19</v>
      </c>
      <c r="H22" s="16">
        <f>D22*E22*G22</f>
        <v/>
      </c>
      <c r="I22" s="13" t="n"/>
    </row>
    <row r="23" ht="18" customHeight="1">
      <c r="A23" s="7" t="inlineStr">
        <is>
          <t xml:space="preserve">  День 2. Токио.</t>
        </is>
      </c>
    </row>
    <row r="24" ht="16" customHeight="1">
      <c r="A24" s="13" t="n"/>
      <c r="B24" s="13" t="n"/>
      <c r="C24" s="13" t="inlineStr">
        <is>
          <t>Гид (полный день)</t>
        </is>
      </c>
      <c r="D24" s="14" t="n">
        <v>1</v>
      </c>
      <c r="E24" s="14" t="n">
        <v>1</v>
      </c>
      <c r="F24" s="13" t="n"/>
      <c r="G24" s="15" t="n">
        <v>941.01</v>
      </c>
      <c r="H24" s="16">
        <f>D24*E24*G24</f>
        <v/>
      </c>
      <c r="I24" s="17" t="inlineStr">
        <is>
          <t>9:00–16:00</t>
        </is>
      </c>
    </row>
    <row r="25" ht="16" customHeight="1">
      <c r="A25" s="8" t="n"/>
      <c r="B25" s="8" t="n"/>
      <c r="C25" s="8" t="inlineStr">
        <is>
          <t>Автобус (большой)</t>
        </is>
      </c>
      <c r="D25" s="9" t="n">
        <v>1</v>
      </c>
      <c r="E25" s="9" t="n">
        <v>1</v>
      </c>
      <c r="F25" s="8" t="n"/>
      <c r="G25" s="10" t="n">
        <v>1353.6</v>
      </c>
      <c r="H25" s="11">
        <f>D25*E25*G25</f>
        <v/>
      </c>
      <c r="I25" s="18" t="inlineStr">
        <is>
          <t>9:00–16:00</t>
        </is>
      </c>
    </row>
    <row r="26" ht="16" customHeight="1">
      <c r="A26" s="13" t="n"/>
      <c r="B26" s="13" t="n"/>
      <c r="C26" s="13" t="inlineStr">
        <is>
          <t>Обед</t>
        </is>
      </c>
      <c r="D26" s="14" t="n">
        <v>41</v>
      </c>
      <c r="E26" s="14" t="n">
        <v>1</v>
      </c>
      <c r="F26" s="13" t="n"/>
      <c r="G26" s="15" t="n">
        <v>50.67</v>
      </c>
      <c r="H26" s="16">
        <f>D26*E26*G26</f>
        <v/>
      </c>
      <c r="I26" s="17" t="inlineStr">
        <is>
          <t>суши-ресторан</t>
        </is>
      </c>
    </row>
    <row r="27" ht="16" customHeight="1">
      <c r="A27" s="8" t="n"/>
      <c r="B27" s="8" t="n"/>
      <c r="C27" s="8" t="inlineStr">
        <is>
          <t>Напитки</t>
        </is>
      </c>
      <c r="D27" s="9" t="n">
        <v>40</v>
      </c>
      <c r="E27" s="9" t="n">
        <v>1</v>
      </c>
      <c r="F27" s="8" t="n"/>
      <c r="G27" s="10" t="n">
        <v>28.95</v>
      </c>
      <c r="H27" s="11">
        <f>D27*E27*G27</f>
        <v/>
      </c>
      <c r="I27" s="18" t="inlineStr">
        <is>
          <t>бокал вина</t>
        </is>
      </c>
    </row>
    <row r="28" ht="16" customHeight="1">
      <c r="A28" s="13" t="n"/>
      <c r="B28" s="13" t="n"/>
      <c r="C28" s="13" t="inlineStr">
        <is>
          <t>Входные билеты</t>
        </is>
      </c>
      <c r="D28" s="14" t="n">
        <v>41</v>
      </c>
      <c r="E28" s="14" t="n">
        <v>1</v>
      </c>
      <c r="F28" s="13" t="n"/>
      <c r="G28" s="15" t="n">
        <v>43.43</v>
      </c>
      <c r="H28" s="16">
        <f>D28*E28*G28</f>
        <v/>
      </c>
      <c r="I28" s="17" t="inlineStr">
        <is>
          <t>Музей цифрового искусства (teamLab)</t>
        </is>
      </c>
    </row>
    <row r="29" ht="18" customHeight="1">
      <c r="A29" s="7" t="inlineStr">
        <is>
          <t xml:space="preserve">  День 3. Токио.</t>
        </is>
      </c>
    </row>
    <row r="30" ht="16" customHeight="1">
      <c r="A30" s="13" t="n"/>
      <c r="B30" s="13" t="n"/>
      <c r="C30" s="13" t="inlineStr">
        <is>
          <t>Гид (полный день)</t>
        </is>
      </c>
      <c r="D30" s="14" t="n">
        <v>1</v>
      </c>
      <c r="E30" s="14" t="n">
        <v>1</v>
      </c>
      <c r="F30" s="13" t="n"/>
      <c r="G30" s="15" t="n">
        <v>1013.39</v>
      </c>
      <c r="H30" s="16">
        <f>D30*E30*G30</f>
        <v/>
      </c>
      <c r="I30" s="13" t="n"/>
    </row>
    <row r="31" ht="16" customHeight="1">
      <c r="A31" s="8" t="n"/>
      <c r="B31" s="8" t="n"/>
      <c r="C31" s="8" t="inlineStr">
        <is>
          <t>Автобус (большой)</t>
        </is>
      </c>
      <c r="D31" s="9" t="n">
        <v>1</v>
      </c>
      <c r="E31" s="9" t="n">
        <v>1</v>
      </c>
      <c r="F31" s="8" t="n"/>
      <c r="G31" s="10" t="n">
        <v>1302.93</v>
      </c>
      <c r="H31" s="11">
        <f>D31*E31*G31</f>
        <v/>
      </c>
      <c r="I31" s="18" t="inlineStr">
        <is>
          <t>16:00–21:00</t>
        </is>
      </c>
    </row>
    <row r="32" ht="16" customHeight="1">
      <c r="A32" s="13" t="n"/>
      <c r="B32" s="13" t="n"/>
      <c r="C32" s="13" t="inlineStr">
        <is>
          <t>Обед</t>
        </is>
      </c>
      <c r="D32" s="14" t="n">
        <v>40</v>
      </c>
      <c r="E32" s="14" t="n">
        <v>1</v>
      </c>
      <c r="F32" s="13" t="n"/>
      <c r="G32" s="15" t="n">
        <v>108.87</v>
      </c>
      <c r="H32" s="16">
        <f>D32*E32*G32</f>
        <v/>
      </c>
      <c r="I32" s="17" t="inlineStr">
        <is>
          <t>в зале конференции</t>
        </is>
      </c>
    </row>
    <row r="33" ht="16" customHeight="1">
      <c r="A33" s="8" t="n"/>
      <c r="B33" s="8" t="n"/>
      <c r="C33" s="8" t="inlineStr">
        <is>
          <t>Напитки</t>
        </is>
      </c>
      <c r="D33" s="9" t="n">
        <v>40</v>
      </c>
      <c r="E33" s="9" t="n">
        <v>1</v>
      </c>
      <c r="F33" s="8" t="n"/>
      <c r="G33" s="10" t="n">
        <v>29.69</v>
      </c>
      <c r="H33" s="11">
        <f>D33*E33*G33</f>
        <v/>
      </c>
      <c r="I33" s="18" t="inlineStr">
        <is>
          <t>безалкогольные напитки, 1,5 ч.</t>
        </is>
      </c>
    </row>
    <row r="34" ht="16" customHeight="1">
      <c r="A34" s="13" t="n"/>
      <c r="B34" s="13" t="n"/>
      <c r="C34" s="13" t="inlineStr">
        <is>
          <t>Ужин</t>
        </is>
      </c>
      <c r="D34" s="14" t="n">
        <v>40</v>
      </c>
      <c r="E34" s="14" t="n">
        <v>1</v>
      </c>
      <c r="F34" s="13" t="n"/>
      <c r="G34" s="15" t="n">
        <v>217.16</v>
      </c>
      <c r="H34" s="16">
        <f>D34*E34*G34</f>
        <v/>
      </c>
      <c r="I34" s="13" t="n"/>
    </row>
    <row r="35" ht="16" customHeight="1">
      <c r="A35" s="8" t="n"/>
      <c r="B35" s="8" t="n"/>
      <c r="C35" s="8" t="inlineStr">
        <is>
          <t>Напитки</t>
        </is>
      </c>
      <c r="D35" s="9" t="n">
        <v>40</v>
      </c>
      <c r="E35" s="9" t="n">
        <v>1</v>
      </c>
      <c r="F35" s="8" t="n"/>
      <c r="G35" s="10" t="n">
        <v>28.95</v>
      </c>
      <c r="H35" s="11">
        <f>D35*E35*G35</f>
        <v/>
      </c>
      <c r="I35" s="18" t="inlineStr">
        <is>
          <t>бокал вина</t>
        </is>
      </c>
    </row>
    <row r="36" ht="16" customHeight="1">
      <c r="A36" s="13" t="n"/>
      <c r="B36" s="13" t="n"/>
      <c r="C36" s="13" t="inlineStr">
        <is>
          <t>Обед и ужин для гида</t>
        </is>
      </c>
      <c r="D36" s="14" t="n">
        <v>1</v>
      </c>
      <c r="E36" s="14" t="n">
        <v>1</v>
      </c>
      <c r="F36" s="13" t="n"/>
      <c r="G36" s="15" t="n">
        <v>57.91</v>
      </c>
      <c r="H36" s="16">
        <f>D36*E36*G36</f>
        <v/>
      </c>
      <c r="I36" s="13" t="n"/>
    </row>
    <row r="37" ht="18" customHeight="1">
      <c r="A37" s="7" t="inlineStr">
        <is>
          <t xml:space="preserve">  Прочее</t>
        </is>
      </c>
    </row>
    <row r="38" ht="16" customHeight="1">
      <c r="A38" s="13" t="n"/>
      <c r="B38" s="13" t="n"/>
      <c r="C38" s="13" t="inlineStr">
        <is>
          <t>Ролл-апы</t>
        </is>
      </c>
      <c r="D38" s="14" t="n">
        <v>2</v>
      </c>
      <c r="E38" s="14" t="n">
        <v>1</v>
      </c>
      <c r="F38" s="13" t="n"/>
      <c r="G38" s="15" t="n">
        <v>361.93</v>
      </c>
      <c r="H38" s="16">
        <f>D38*E38*G38</f>
        <v/>
      </c>
      <c r="I38" s="17" t="inlineStr">
        <is>
          <t>850×2000 мм</t>
        </is>
      </c>
    </row>
    <row r="40" ht="24" customHeight="1">
      <c r="A40" s="19" t="inlineStr">
        <is>
          <t>ИТОГО (наземная часть + размещение)</t>
        </is>
      </c>
      <c r="H40" s="20">
        <f>H13+H16+H17+H18+H19+H20+H21+H22+H24+H25+H26+H27+H28+H30+H31+H32+H33+H34+H35+H36+H38</f>
        <v/>
      </c>
      <c r="I40" s="21" t="n"/>
    </row>
    <row r="42" ht="18" customHeight="1">
      <c r="A42" s="22" t="inlineStr">
        <is>
          <t>Цена на человека (наземная часть + размещение, 40 чел.)</t>
        </is>
      </c>
      <c r="H42" s="23">
        <f>H40/40</f>
        <v/>
      </c>
    </row>
    <row r="44">
      <c r="A44" s="24" t="inlineStr">
        <is>
          <t>Tozai Tours — DMC Japan  |  Коммерческое предложение действительно 14 дней  |  Все цены в USD  |  Международные перелёты не включены</t>
        </is>
      </c>
    </row>
  </sheetData>
  <mergeCells count="16">
    <mergeCell ref="A15:I15"/>
    <mergeCell ref="A29:I29"/>
    <mergeCell ref="B3:D3"/>
    <mergeCell ref="B5:D5"/>
    <mergeCell ref="A2:I2"/>
    <mergeCell ref="A40:G40"/>
    <mergeCell ref="A37:I37"/>
    <mergeCell ref="B4:D4"/>
    <mergeCell ref="A44:I44"/>
    <mergeCell ref="A1:I1"/>
    <mergeCell ref="A23:I23"/>
    <mergeCell ref="A9:I9"/>
    <mergeCell ref="A12:I12"/>
    <mergeCell ref="B7:D7"/>
    <mergeCell ref="B6:D6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2026-03-22T15:52:26Z</dcterms:created>
  <dcterms:modified xmlns:dcterms="http://purl.org/dc/terms/" xmlns:xsi="http://www.w3.org/2001/XMLSchema-instance" xsi:type="dcterms:W3CDTF">2026-03-22T15:52:26Z</dcterms:modified>
</cp:coreProperties>
</file>